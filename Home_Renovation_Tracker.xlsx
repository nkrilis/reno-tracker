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s" sheetId="2" state="visible" r:id="rId4"/>
    <sheet name="Contacts &amp; Quotes" sheetId="3" state="visible" r:id="rId5"/>
    <sheet name="Lists" sheetId="4" state="visible" r:id="rId6"/>
  </sheets>
  <definedNames>
    <definedName function="false" hidden="true" localSheetId="1" name="_xlnm._FilterDatabase" vbProcedure="false">Tasks!$A$4:$T$500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Enter costs on sub-tasks, or on a task that has no sub-tasks. Dashboard totals only count rows with 0 sub-tasks, so parent rows aren't double-counted.</t>
        </r>
      </text>
    </comment>
  </commentList>
</comments>
</file>

<file path=xl/sharedStrings.xml><?xml version="1.0" encoding="utf-8"?>
<sst xmlns="http://schemas.openxmlformats.org/spreadsheetml/2006/main" count="1018" uniqueCount="314">
  <si>
    <t xml:space="preserve">Home Renovation — Project Dashboard</t>
  </si>
  <si>
    <t xml:space="preserve">Everything here updates from the Tasks sheet. Yellow cells are yours to fill in.</t>
  </si>
  <si>
    <t xml:space="preserve">Possession date</t>
  </si>
  <si>
    <t xml:space="preserve">Overdue items</t>
  </si>
  <si>
    <t xml:space="preserve">Today</t>
  </si>
  <si>
    <t xml:space="preserve">Due in next 7 days</t>
  </si>
  <si>
    <t xml:space="preserve">Days until possession</t>
  </si>
  <si>
    <t xml:space="preserve">Overall progress</t>
  </si>
  <si>
    <t xml:space="preserve">Area</t>
  </si>
  <si>
    <t xml:space="preserve">Tasks</t>
  </si>
  <si>
    <t xml:space="preserve">Sub-tasks</t>
  </si>
  <si>
    <t xml:space="preserve">In Progress</t>
  </si>
  <si>
    <t xml:space="preserve">Done</t>
  </si>
  <si>
    <t xml:space="preserve">% Complete</t>
  </si>
  <si>
    <t xml:space="preserve">Next Due</t>
  </si>
  <si>
    <t xml:space="preserve">Budget ($)</t>
  </si>
  <si>
    <t xml:space="preserve">Est. Cost ($)</t>
  </si>
  <si>
    <t xml:space="preserve">Actual ($)</t>
  </si>
  <si>
    <t xml:space="preserve">Remaining Budget ($)</t>
  </si>
  <si>
    <t xml:space="preserve">Variance vs Est. ($)</t>
  </si>
  <si>
    <t xml:space="preserve">Admin &amp; Possession</t>
  </si>
  <si>
    <t xml:space="preserve">Mold Remediation</t>
  </si>
  <si>
    <t xml:space="preserve">Electrical Rough-in</t>
  </si>
  <si>
    <t xml:space="preserve">Networking</t>
  </si>
  <si>
    <t xml:space="preserve">Security Cameras</t>
  </si>
  <si>
    <t xml:space="preserve">Insulation</t>
  </si>
  <si>
    <t xml:space="preserve">Lighting &amp; Pot Lights</t>
  </si>
  <si>
    <t xml:space="preserve">Kitchen</t>
  </si>
  <si>
    <t xml:space="preserve">Laundry Room</t>
  </si>
  <si>
    <t xml:space="preserve">Upstairs Bath 1</t>
  </si>
  <si>
    <t xml:space="preserve">Upstairs Bath 2</t>
  </si>
  <si>
    <t xml:space="preserve">Trim &amp; Doors (Whole House)</t>
  </si>
  <si>
    <t xml:space="preserve">Other</t>
  </si>
  <si>
    <t xml:space="preserve">TOTAL</t>
  </si>
  <si>
    <t xml:space="preserve">Recommended order of work</t>
  </si>
  <si>
    <t xml:space="preserve">1. Mold assessment → remediation → clearance test (fix the moisture source, not just the mold).</t>
  </si>
  <si>
    <t xml:space="preserve">2. While the attic is open: all ceiling wiring — pot lights, bath fans, Cat6 drops, Wi-Fi APs, camera PoE runs — then electrical rough-in inspection.</t>
  </si>
  <si>
    <t xml:space="preserve">3. Insulation goes in only after wiring is done and inspected (attic first, then basement walls).</t>
  </si>
  <si>
    <t xml:space="preserve">4. Rough-in plumbing/electrical for kitchen, laundry &amp; baths → drywall → tile, cabinets, flooring.</t>
  </si>
  <si>
    <t xml:space="preserve">5. Paint, then trim &amp; doors last so they aren't damaged by other trades.</t>
  </si>
  <si>
    <t xml:space="preserve">6. Light fixtures, pot light trims, switches, cameras and network gear go in at the very end.</t>
  </si>
  <si>
    <t xml:space="preserve">Renovation Task Tracker</t>
  </si>
  <si>
    <t xml:space="preserve">How to use: fill the white columns (A–O, T). Grey columns (P–S) calculate automatically. For a sub-task, give it its own ID (e.g. KIT-2.4) and put the parent's ID (KIT-2) in Parent ID. Enter costs on sub-tasks (or on tasks with no sub-tasks) so totals aren't double-counted. Dates are targets — adjust as quotes come in.</t>
  </si>
  <si>
    <t xml:space="preserve">ID</t>
  </si>
  <si>
    <t xml:space="preserve">Parent ID</t>
  </si>
  <si>
    <t xml:space="preserve">Task / Sub-task</t>
  </si>
  <si>
    <t xml:space="preserve">Status</t>
  </si>
  <si>
    <t xml:space="preserve">Priority</t>
  </si>
  <si>
    <t xml:space="preserve">Phase</t>
  </si>
  <si>
    <t xml:space="preserve">Assigned To</t>
  </si>
  <si>
    <t xml:space="preserve">Start</t>
  </si>
  <si>
    <t xml:space="preserve">Due</t>
  </si>
  <si>
    <t xml:space="preserve">Done Date</t>
  </si>
  <si>
    <t xml:space="preserve">Depends On</t>
  </si>
  <si>
    <t xml:space="preserve">Permit / Inspection?</t>
  </si>
  <si>
    <t xml:space="preserve">Actual Cost ($)</t>
  </si>
  <si>
    <t xml:space="preserve">Variance ($)</t>
  </si>
  <si>
    <t xml:space="preserve"># Sub-tasks</t>
  </si>
  <si>
    <t xml:space="preserve">Progress</t>
  </si>
  <si>
    <t xml:space="preserve">Flag</t>
  </si>
  <si>
    <t xml:space="preserve">Notes</t>
  </si>
  <si>
    <t xml:space="preserve">ADM-1</t>
  </si>
  <si>
    <t xml:space="preserve">Take possession of home</t>
  </si>
  <si>
    <t xml:space="preserve">Planned</t>
  </si>
  <si>
    <t xml:space="preserve">High</t>
  </si>
  <si>
    <t xml:space="preserve">1 - Remediation</t>
  </si>
  <si>
    <t xml:space="preserve">DIY</t>
  </si>
  <si>
    <t xml:space="preserve">No</t>
  </si>
  <si>
    <t xml:space="preserve">Key day: Wed Nov 4, 2026</t>
  </si>
  <si>
    <t xml:space="preserve">ADM-1.1</t>
  </si>
  <si>
    <t xml:space="preserve">Change locks / reprogram garage openers</t>
  </si>
  <si>
    <t xml:space="preserve">Not Started</t>
  </si>
  <si>
    <t xml:space="preserve">ADM-1.2</t>
  </si>
  <si>
    <t xml:space="preserve">Transfer utilities &amp; confirm home insurance start date</t>
  </si>
  <si>
    <t xml:space="preserve">Hydro, gas, water, internet</t>
  </si>
  <si>
    <t xml:space="preserve">ADM-1.3</t>
  </si>
  <si>
    <t xml:space="preserve">Photo/video document existing condition of every room</t>
  </si>
  <si>
    <t xml:space="preserve">Medium</t>
  </si>
  <si>
    <t xml:space="preserve">Useful for insurance and before/after</t>
  </si>
  <si>
    <t xml:space="preserve">ADM-1.4</t>
  </si>
  <si>
    <t xml:space="preserve">Locate &amp; label electrical panel; note amperage &amp; free breaker slots</t>
  </si>
  <si>
    <t xml:space="preserve">Needed before planning pot lights &amp; new circuits</t>
  </si>
  <si>
    <t xml:space="preserve">ADM-2</t>
  </si>
  <si>
    <t xml:space="preserve">Permits &amp; approvals</t>
  </si>
  <si>
    <t xml:space="preserve">Check</t>
  </si>
  <si>
    <t xml:space="preserve">ADM-2.1</t>
  </si>
  <si>
    <t xml:space="preserve">Electrical permit / notification (ESA) for new circuits &amp; pot lights</t>
  </si>
  <si>
    <t xml:space="preserve">2 - Rough-in</t>
  </si>
  <si>
    <t xml:space="preserve">Electrician</t>
  </si>
  <si>
    <t xml:space="preserve">Yes</t>
  </si>
  <si>
    <t xml:space="preserve">Usually pulled by your licensed electrician</t>
  </si>
  <si>
    <t xml:space="preserve">ADM-2.2</t>
  </si>
  <si>
    <t xml:space="preserve">Check with City of Vaughan whether kitchen/bath/laundry plumbing changes need a building permit</t>
  </si>
  <si>
    <t xml:space="preserve">MOLD-1</t>
  </si>
  <si>
    <t xml:space="preserve">Mold assessment &amp; quotes</t>
  </si>
  <si>
    <t xml:space="preserve">Remediation Co.</t>
  </si>
  <si>
    <t xml:space="preserve">MOLD-1.1</t>
  </si>
  <si>
    <t xml:space="preserve">Get 2–3 remediation quotes (attic + basement scope)</t>
  </si>
  <si>
    <t xml:space="preserve">Can line up site visits before Nov 4 if seller allows</t>
  </si>
  <si>
    <t xml:space="preserve">MOLD-1.2</t>
  </si>
  <si>
    <t xml:space="preserve">Identify moisture source in attic (bath fans venting into attic, ventilation, roof leak)</t>
  </si>
  <si>
    <t xml:space="preserve">Fix the cause or mold returns</t>
  </si>
  <si>
    <t xml:space="preserve">MOLD-1.3</t>
  </si>
  <si>
    <t xml:space="preserve">Identify moisture source in basement (grading, foundation cracks, humidity, sump)</t>
  </si>
  <si>
    <t xml:space="preserve">MOLD-2</t>
  </si>
  <si>
    <t xml:space="preserve">Attic mold remediation</t>
  </si>
  <si>
    <t xml:space="preserve">MOLD-2.1</t>
  </si>
  <si>
    <t xml:space="preserve">Set up containment &amp; negative air</t>
  </si>
  <si>
    <t xml:space="preserve">MOLD-2.2</t>
  </si>
  <si>
    <t xml:space="preserve">Remove contaminated insulation</t>
  </si>
  <si>
    <t xml:space="preserve">Attic will be open — best window for wiring runs</t>
  </si>
  <si>
    <t xml:space="preserve">MOLD-2.3</t>
  </si>
  <si>
    <t xml:space="preserve">HEPA vacuum, treat &amp; seal roof sheathing</t>
  </si>
  <si>
    <t xml:space="preserve">MOLD-2.4</t>
  </si>
  <si>
    <t xml:space="preserve">Correct attic ventilation (baffles, vents, bath fans ducted outside)</t>
  </si>
  <si>
    <t xml:space="preserve">Contractor</t>
  </si>
  <si>
    <t xml:space="preserve">MOLD-3</t>
  </si>
  <si>
    <t xml:space="preserve">Basement mold remediation</t>
  </si>
  <si>
    <t xml:space="preserve">MOLD-3.1</t>
  </si>
  <si>
    <t xml:space="preserve">Containment &amp; removal of affected drywall / insulation</t>
  </si>
  <si>
    <t xml:space="preserve">MOLD-3.2</t>
  </si>
  <si>
    <t xml:space="preserve">Clean &amp; treat framing / foundation walls</t>
  </si>
  <si>
    <t xml:space="preserve">MOLD-3.3</t>
  </si>
  <si>
    <t xml:space="preserve">Fix moisture source (dehumidifier, grading, crack repair)</t>
  </si>
  <si>
    <t xml:space="preserve">MOLD-4</t>
  </si>
  <si>
    <t xml:space="preserve">Post-remediation clearance testing (attic &amp; basement)</t>
  </si>
  <si>
    <t xml:space="preserve">MOLD-2, MOLD-3</t>
  </si>
  <si>
    <t xml:space="preserve">Get clearance report before closing up with insulation</t>
  </si>
  <si>
    <t xml:space="preserve">ELEC-1</t>
  </si>
  <si>
    <t xml:space="preserve">Electrical plan</t>
  </si>
  <si>
    <t xml:space="preserve">ELEC-1.1</t>
  </si>
  <si>
    <t xml:space="preserve">Hire licensed electrician &amp; get quote</t>
  </si>
  <si>
    <t xml:space="preserve">ELEC-1.2</t>
  </si>
  <si>
    <t xml:space="preserve">Confirm panel capacity for new circuits (kitchen, laundry, lighting)</t>
  </si>
  <si>
    <t xml:space="preserve">May need panel upgrade</t>
  </si>
  <si>
    <t xml:space="preserve">ELEC-1.3</t>
  </si>
  <si>
    <t xml:space="preserve">Mark room-by-room layout (pot lights, switches, outlets, fans)</t>
  </si>
  <si>
    <t xml:space="preserve">LGT-1</t>
  </si>
  <si>
    <t xml:space="preserve">ELEC-2</t>
  </si>
  <si>
    <t xml:space="preserve">Attic wiring rough-in (before insulation)</t>
  </si>
  <si>
    <t xml:space="preserve">Ceiling runs for upstairs pot lights &amp; bath fans</t>
  </si>
  <si>
    <t xml:space="preserve">ELEC-2.1</t>
  </si>
  <si>
    <t xml:space="preserve">Run upstairs pot light circuits &amp; switch legs</t>
  </si>
  <si>
    <t xml:space="preserve">Use IC-rated, airtight fixtures under insulation</t>
  </si>
  <si>
    <t xml:space="preserve">ELEC-2.2</t>
  </si>
  <si>
    <t xml:space="preserve">Wire bathroom exhaust fans (both upstairs baths)</t>
  </si>
  <si>
    <t xml:space="preserve">ELEC-2.3</t>
  </si>
  <si>
    <t xml:space="preserve">Rough-in inspection</t>
  </si>
  <si>
    <t xml:space="preserve">ELEC-2.1, ELEC-2.2</t>
  </si>
  <si>
    <t xml:space="preserve">Must pass before insulation covers wiring</t>
  </si>
  <si>
    <t xml:space="preserve">ELEC-3</t>
  </si>
  <si>
    <t xml:space="preserve">Basement wiring rough-in (while walls are open)</t>
  </si>
  <si>
    <t xml:space="preserve">NET-1</t>
  </si>
  <si>
    <t xml:space="preserve">Whole-home network wiring</t>
  </si>
  <si>
    <t xml:space="preserve">Low-Voltage / AV</t>
  </si>
  <si>
    <t xml:space="preserve">NET-1.1</t>
  </si>
  <si>
    <t xml:space="preserve">Pick network/rack location (often basement utility room)</t>
  </si>
  <si>
    <t xml:space="preserve">NET-1.2</t>
  </si>
  <si>
    <t xml:space="preserve">List Cat6 drops per room (TVs, offices, desks)</t>
  </si>
  <si>
    <t xml:space="preserve">NET-1.3</t>
  </si>
  <si>
    <t xml:space="preserve">Plan ceiling Wi-Fi access point locations</t>
  </si>
  <si>
    <t xml:space="preserve">NET-1.4</t>
  </si>
  <si>
    <t xml:space="preserve">Pull Cat6 through attic to upstairs rooms &amp; APs</t>
  </si>
  <si>
    <t xml:space="preserve">Do while attic insulation is out</t>
  </si>
  <si>
    <t xml:space="preserve">NET-1.5</t>
  </si>
  <si>
    <t xml:space="preserve">Run conduit / pull strings for future runs</t>
  </si>
  <si>
    <t xml:space="preserve">Low</t>
  </si>
  <si>
    <t xml:space="preserve">NET-1.6</t>
  </si>
  <si>
    <t xml:space="preserve">Terminate, label &amp; test all runs; install patch panel</t>
  </si>
  <si>
    <t xml:space="preserve">6 - Fixtures &amp; Devices</t>
  </si>
  <si>
    <t xml:space="preserve">CAM-1</t>
  </si>
  <si>
    <t xml:space="preserve">Security camera system</t>
  </si>
  <si>
    <t xml:space="preserve">CAM-1.1</t>
  </si>
  <si>
    <t xml:space="preserve">Choose camera locations &amp; coverage (doors, driveway, yard)</t>
  </si>
  <si>
    <t xml:space="preserve">CAM-1.2</t>
  </si>
  <si>
    <t xml:space="preserve">Choose system (PoE cameras + NVR) &amp; NVR location</t>
  </si>
  <si>
    <t xml:space="preserve">CAM-1.3</t>
  </si>
  <si>
    <t xml:space="preserve">Run PoE cable through attic to soffit/eave locations</t>
  </si>
  <si>
    <t xml:space="preserve">CAM-1.4</t>
  </si>
  <si>
    <t xml:space="preserve">Mount cameras, connect NVR, set up app &amp; recording</t>
  </si>
  <si>
    <t xml:space="preserve">INS-1</t>
  </si>
  <si>
    <t xml:space="preserve">Attic insulation</t>
  </si>
  <si>
    <t xml:space="preserve">3 - Insulation &amp; Drywall</t>
  </si>
  <si>
    <t xml:space="preserve">Insulation Co.</t>
  </si>
  <si>
    <t xml:space="preserve">ELEC-2.3, NET-1.4, CAM-1.3</t>
  </si>
  <si>
    <t xml:space="preserve">Only after all attic wiring is done &amp; inspected</t>
  </si>
  <si>
    <t xml:space="preserve">INS-1.1</t>
  </si>
  <si>
    <t xml:space="preserve">Air-seal top plates &amp; ceiling penetrations</t>
  </si>
  <si>
    <t xml:space="preserve">INS-1.2</t>
  </si>
  <si>
    <t xml:space="preserve">Install baffles at eaves</t>
  </si>
  <si>
    <t xml:space="preserve">INS-1.3</t>
  </si>
  <si>
    <t xml:space="preserve">Blow in insulation to target R-value</t>
  </si>
  <si>
    <t xml:space="preserve">Confirm R-value with installer</t>
  </si>
  <si>
    <t xml:space="preserve">INS-1.4</t>
  </si>
  <si>
    <t xml:space="preserve">Check energy rebate eligibility before work starts</t>
  </si>
  <si>
    <t xml:space="preserve">Some programs require a pre-work assessment</t>
  </si>
  <si>
    <t xml:space="preserve">INS-2</t>
  </si>
  <si>
    <t xml:space="preserve">Basement wall insulation</t>
  </si>
  <si>
    <t xml:space="preserve">ELEC-3, MOLD-3.3</t>
  </si>
  <si>
    <t xml:space="preserve">Lighting layout &amp; selection</t>
  </si>
  <si>
    <t xml:space="preserve">LGT-1.1</t>
  </si>
  <si>
    <t xml:space="preserve">Pot light count &amp; spacing per room</t>
  </si>
  <si>
    <t xml:space="preserve">LGT-1.2</t>
  </si>
  <si>
    <t xml:space="preserve">Choose colour temperature / dimmable LED wafer lights</t>
  </si>
  <si>
    <t xml:space="preserve">LGT-1.3</t>
  </si>
  <si>
    <t xml:space="preserve">Choose dimmers / smart switches</t>
  </si>
  <si>
    <t xml:space="preserve">LGT-2</t>
  </si>
  <si>
    <t xml:space="preserve">Main floor pot lights</t>
  </si>
  <si>
    <t xml:space="preserve">LGT-3</t>
  </si>
  <si>
    <t xml:space="preserve">Install fixtures &amp; trims after paint</t>
  </si>
  <si>
    <t xml:space="preserve">TRIM-5</t>
  </si>
  <si>
    <t xml:space="preserve">KIT-1</t>
  </si>
  <si>
    <t xml:space="preserve">Design: layout, cabinets, counters, appliances</t>
  </si>
  <si>
    <t xml:space="preserve">4 - Finishes</t>
  </si>
  <si>
    <t xml:space="preserve">KIT-1.1</t>
  </si>
  <si>
    <t xml:space="preserve">Measure room &amp; sketch layout</t>
  </si>
  <si>
    <t xml:space="preserve">KIT-1.2</t>
  </si>
  <si>
    <t xml:space="preserve">Get cabinet &amp; countertop quotes</t>
  </si>
  <si>
    <t xml:space="preserve">KIT-1.3</t>
  </si>
  <si>
    <t xml:space="preserve">Pick appliances (confirm sizes before cabinets)</t>
  </si>
  <si>
    <t xml:space="preserve">KIT-2</t>
  </si>
  <si>
    <t xml:space="preserve">Demolition</t>
  </si>
  <si>
    <t xml:space="preserve">KIT-3</t>
  </si>
  <si>
    <t xml:space="preserve">Plumbing rough-in (sink, dishwasher, fridge line)</t>
  </si>
  <si>
    <t xml:space="preserve">Plumber</t>
  </si>
  <si>
    <t xml:space="preserve">KIT-4</t>
  </si>
  <si>
    <t xml:space="preserve">Electrical rough-in (dedicated circuits, under-cabinet lights)</t>
  </si>
  <si>
    <t xml:space="preserve">KIT-5</t>
  </si>
  <si>
    <t xml:space="preserve">Drywall &amp; paint</t>
  </si>
  <si>
    <t xml:space="preserve">KIT-3, KIT-4</t>
  </si>
  <si>
    <t xml:space="preserve">KIT-6</t>
  </si>
  <si>
    <t xml:space="preserve">Flooring</t>
  </si>
  <si>
    <t xml:space="preserve">KIT-7</t>
  </si>
  <si>
    <t xml:space="preserve">Cabinet install</t>
  </si>
  <si>
    <t xml:space="preserve">KIT-8</t>
  </si>
  <si>
    <t xml:space="preserve">Countertop template &amp; install</t>
  </si>
  <si>
    <t xml:space="preserve">KIT-9</t>
  </si>
  <si>
    <t xml:space="preserve">Backsplash</t>
  </si>
  <si>
    <t xml:space="preserve">KIT-10</t>
  </si>
  <si>
    <t xml:space="preserve">Appliances &amp; plumbing fixtures</t>
  </si>
  <si>
    <t xml:space="preserve">LAU-1</t>
  </si>
  <si>
    <t xml:space="preserve">Design: layout, cabinets / shelving, sink</t>
  </si>
  <si>
    <t xml:space="preserve">LAU-2</t>
  </si>
  <si>
    <t xml:space="preserve">Plumbing: supply, drain, washer box, floor drain check</t>
  </si>
  <si>
    <t xml:space="preserve">LAU-3</t>
  </si>
  <si>
    <t xml:space="preserve">Electrical: 240V dryer &amp; washer circuits</t>
  </si>
  <si>
    <t xml:space="preserve">LAU-4</t>
  </si>
  <si>
    <t xml:space="preserve">Dryer vent run to exterior</t>
  </si>
  <si>
    <t xml:space="preserve">LAU-5</t>
  </si>
  <si>
    <t xml:space="preserve">LAU-2, LAU-3</t>
  </si>
  <si>
    <t xml:space="preserve">LAU-6</t>
  </si>
  <si>
    <t xml:space="preserve">Cabinets, counter &amp; shelving</t>
  </si>
  <si>
    <t xml:space="preserve">LAU-7</t>
  </si>
  <si>
    <t xml:space="preserve">Install washer &amp; dryer</t>
  </si>
  <si>
    <t xml:space="preserve">BA1-1</t>
  </si>
  <si>
    <t xml:space="preserve">Design: vanity, tile, shower/tub, fixtures</t>
  </si>
  <si>
    <t xml:space="preserve">BA1-2</t>
  </si>
  <si>
    <t xml:space="preserve">BA1-3</t>
  </si>
  <si>
    <t xml:space="preserve">Plumbing rough-in</t>
  </si>
  <si>
    <t xml:space="preserve">BA1-4</t>
  </si>
  <si>
    <t xml:space="preserve">Exhaust fan ducted to exterior</t>
  </si>
  <si>
    <t xml:space="preserve">BA1-5</t>
  </si>
  <si>
    <t xml:space="preserve">Shower waterproofing &amp; cement board</t>
  </si>
  <si>
    <t xml:space="preserve">BA1-6</t>
  </si>
  <si>
    <t xml:space="preserve">Tile: floor &amp; shower walls</t>
  </si>
  <si>
    <t xml:space="preserve">BA1-7</t>
  </si>
  <si>
    <t xml:space="preserve">Vanity, toilet &amp; fixtures</t>
  </si>
  <si>
    <t xml:space="preserve">BA1-8</t>
  </si>
  <si>
    <t xml:space="preserve">Mirror, lighting &amp; accessories</t>
  </si>
  <si>
    <t xml:space="preserve">BA2-1</t>
  </si>
  <si>
    <t xml:space="preserve">BA2-2</t>
  </si>
  <si>
    <t xml:space="preserve">BA2-3</t>
  </si>
  <si>
    <t xml:space="preserve">BA2-4</t>
  </si>
  <si>
    <t xml:space="preserve">BA2-5</t>
  </si>
  <si>
    <t xml:space="preserve">BA2-6</t>
  </si>
  <si>
    <t xml:space="preserve">BA2-7</t>
  </si>
  <si>
    <t xml:space="preserve">BA2-8</t>
  </si>
  <si>
    <t xml:space="preserve">TRIM-1</t>
  </si>
  <si>
    <t xml:space="preserve">Measure baseboard &amp; casing linear feet room by room</t>
  </si>
  <si>
    <t xml:space="preserve">5 - Trim &amp; Paint</t>
  </si>
  <si>
    <t xml:space="preserve">TRIM-2</t>
  </si>
  <si>
    <t xml:space="preserve">Choose baseboard, casing &amp; door styles</t>
  </si>
  <si>
    <t xml:space="preserve">TRIM-3</t>
  </si>
  <si>
    <t xml:space="preserve">Order interior doors &amp; trim (allow lead time)</t>
  </si>
  <si>
    <t xml:space="preserve">TRIM-4</t>
  </si>
  <si>
    <t xml:space="preserve">Remove old trim &amp; doors</t>
  </si>
  <si>
    <t xml:space="preserve">Install doors, casings &amp; baseboards</t>
  </si>
  <si>
    <t xml:space="preserve">Do after flooring &amp; wall paint in each area</t>
  </si>
  <si>
    <t xml:space="preserve">TRIM-6</t>
  </si>
  <si>
    <t xml:space="preserve">Fill, caulk &amp; paint trim</t>
  </si>
  <si>
    <t xml:space="preserve">Contractors, Contacts &amp; Quotes</t>
  </si>
  <si>
    <t xml:space="preserve">Row 4 is an example — overwrite or delete it.</t>
  </si>
  <si>
    <t xml:space="preserve">Name</t>
  </si>
  <si>
    <t xml:space="preserve">Company</t>
  </si>
  <si>
    <t xml:space="preserve">Trade</t>
  </si>
  <si>
    <t xml:space="preserve">Phone</t>
  </si>
  <si>
    <t xml:space="preserve">Email</t>
  </si>
  <si>
    <t xml:space="preserve">Area(s)</t>
  </si>
  <si>
    <t xml:space="preserve">Quote ($)</t>
  </si>
  <si>
    <t xml:space="preserve">Quote Date</t>
  </si>
  <si>
    <t xml:space="preserve">Hired?</t>
  </si>
  <si>
    <t xml:space="preserve">Start Date</t>
  </si>
  <si>
    <t xml:space="preserve">Jane Smith</t>
  </si>
  <si>
    <t xml:space="preserve">ABC Mold Solutions</t>
  </si>
  <si>
    <t xml:space="preserve">(905) 555-0100</t>
  </si>
  <si>
    <t xml:space="preserve">jane@example.com</t>
  </si>
  <si>
    <t xml:space="preserve">Attic, Basement</t>
  </si>
  <si>
    <t xml:space="preserve">Example row — includes air testing</t>
  </si>
  <si>
    <t xml:space="preserve">Areas</t>
  </si>
  <si>
    <t xml:space="preserve">Permit?</t>
  </si>
  <si>
    <t xml:space="preserve">Add new options at the bottom of any column (dropdowns read down to row 40).</t>
  </si>
  <si>
    <t xml:space="preserve">Waiting (Trade/Materials)</t>
  </si>
  <si>
    <t xml:space="preserve">On Hold</t>
  </si>
  <si>
    <t xml:space="preserve">TBD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</si>
</sst>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 d&quot;, &quot;yyyy"/>
    <numFmt numFmtId="166" formatCode="General"/>
    <numFmt numFmtId="167" formatCode="0%"/>
    <numFmt numFmtId="168" formatCode="mmm\ d"/>
    <numFmt numFmtId="169" formatCode="\$#,##0;&quot;($&quot;#,##0\);\-"/>
    <numFmt numFmtId="170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10"/>
      <name val="Arial"/>
      <family val="2"/>
    </font>
    <font>
      <i val="true"/>
      <sz val="10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DE2E1"/>
      </patternFill>
    </fill>
    <fill>
      <patternFill patternType="solid">
        <fgColor rgb="FF1F3A5F"/>
        <bgColor rgb="FF333399"/>
      </patternFill>
    </fill>
    <fill>
      <patternFill patternType="solid">
        <fgColor rgb="FFEEF3F8"/>
        <bgColor rgb="FFF2F2F2"/>
      </patternFill>
    </fill>
    <fill>
      <patternFill patternType="solid">
        <fgColor rgb="FFF2F2F2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C00000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strike val="1"/>
        <color rgb="FF6A8F5A"/>
      </font>
    </dxf>
    <dxf>
      <font>
        <name val="Arial"/>
        <charset val="1"/>
        <family val="0"/>
        <b val="1"/>
      </font>
      <fill>
        <patternFill>
          <bgColor rgb="FFEEF3F8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DE2E1"/>
        </patternFill>
      </fill>
    </dxf>
    <dxf>
      <font>
        <name val="Arial"/>
        <charset val="1"/>
        <family val="0"/>
        <color rgb="FF9C6500"/>
      </font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88888"/>
      <rgbColor rgb="FF9999FF"/>
      <rgbColor rgb="FF993366"/>
      <rgbColor rgb="FFFFF2CC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F2F2F2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6A8F5A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10" min="8" style="0" width="13"/>
    <col collapsed="false" customWidth="true" hidden="false" outlineLevel="0" max="12" min="11" style="0" width="1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46330</v>
      </c>
      <c r="D4" s="3" t="s">
        <v>3</v>
      </c>
      <c r="E4" s="5" t="n">
        <f aca="false">COUNTIF(Tasks!S5:S500,"OVERDUE")</f>
        <v>0</v>
      </c>
    </row>
    <row r="5" customFormat="false" ht="15" hidden="false" customHeight="false" outlineLevel="0" collapsed="false">
      <c r="A5" s="3" t="s">
        <v>4</v>
      </c>
      <c r="B5" s="6" t="n">
        <f aca="true">TODAY()</f>
        <v>46315</v>
      </c>
      <c r="D5" s="3" t="s">
        <v>5</v>
      </c>
      <c r="E5" s="5" t="n">
        <f aca="false">COUNTIF(Tasks!S5:S500,"Due this week")</f>
        <v>0</v>
      </c>
    </row>
    <row r="6" customFormat="false" ht="15" hidden="false" customHeight="false" outlineLevel="0" collapsed="false">
      <c r="A6" s="3" t="s">
        <v>6</v>
      </c>
      <c r="B6" s="5" t="n">
        <f aca="false">IF(B4-B5&gt;0,B4-B5,"Moved in")</f>
        <v>15</v>
      </c>
      <c r="D6" s="3" t="s">
        <v>7</v>
      </c>
      <c r="E6" s="7" t="n">
        <f aca="false">IFERROR(COUNTIFS(Tasks!Q5:Q500,0,Tasks!E5:E500,"Done")/COUNTIF(Tasks!Q5:Q500,0),0)</f>
        <v>0</v>
      </c>
    </row>
    <row r="8" customFormat="false" ht="30" hidden="false" customHeight="true" outlineLevel="0" collapsed="false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8" t="s">
        <v>17</v>
      </c>
      <c r="K8" s="8" t="s">
        <v>18</v>
      </c>
      <c r="L8" s="8" t="s">
        <v>19</v>
      </c>
    </row>
    <row r="9" customFormat="false" ht="15" hidden="false" customHeight="false" outlineLevel="0" collapsed="false">
      <c r="A9" s="9" t="s">
        <v>20</v>
      </c>
      <c r="B9" s="10" t="n">
        <f aca="false">COUNTIFS(Tasks!$C$5:$C$500,$A9,Tasks!$B$5:$B$500,"",Tasks!$A$5:$A$500,"&lt;&gt;")</f>
        <v>2</v>
      </c>
      <c r="C9" s="10" t="n">
        <f aca="false">COUNTIFS(Tasks!$C$5:$C$500,$A9,Tasks!$B$5:$B$500,"&lt;&gt;")</f>
        <v>6</v>
      </c>
      <c r="D9" s="10" t="n">
        <f aca="false">COUNTIFS(Tasks!$C$5:$C$500,$A9,Tasks!$E$5:$E$500,"In Progress")</f>
        <v>0</v>
      </c>
      <c r="E9" s="10" t="n">
        <f aca="false">COUNTIFS(Tasks!$C$5:$C$500,$A9,Tasks!$E$5:$E$500,"Done")</f>
        <v>0</v>
      </c>
      <c r="F9" s="11" t="n">
        <f aca="false">IFERROR(COUNTIFS(Tasks!$C$5:$C$500,$A9,Tasks!$Q$5:$Q$500,0,Tasks!$E$5:$E$500,"Done")/COUNTIFS(Tasks!$C$5:$C$500,$A9,Tasks!$Q$5:$Q$500,0),0)</f>
        <v>0</v>
      </c>
      <c r="G9" s="12" t="n">
        <f aca="false">IFERROR(IF(_xlfn.MINIFS(Tasks!$J$5:$J$500,Tasks!$C$5:$C$500,$A9,Tasks!$E$5:$E$500,"&lt;&gt;Done")=0,"",_xlfn.MINIFS(Tasks!$J$5:$J$500,Tasks!$C$5:$C$500,$A9,Tasks!$E$5:$E$500,"&lt;&gt;Done")),"")</f>
        <v>46330</v>
      </c>
      <c r="H9" s="13"/>
      <c r="I9" s="14" t="n">
        <f aca="false">SUMIFS(Tasks!$N$5:$N$500,Tasks!$C$5:$C$500,$A9,Tasks!$Q$5:$Q$500,0)</f>
        <v>0</v>
      </c>
      <c r="J9" s="14" t="n">
        <f aca="false">SUMIFS(Tasks!$O$5:$O$500,Tasks!$C$5:$C$500,$A9,Tasks!$Q$5:$Q$500,0)</f>
        <v>0</v>
      </c>
      <c r="K9" s="14" t="str">
        <f aca="false">IF(H9="","",H9-J9)</f>
        <v/>
      </c>
      <c r="L9" s="14" t="n">
        <f aca="false">J9-I9</f>
        <v>0</v>
      </c>
    </row>
    <row r="10" customFormat="false" ht="15" hidden="false" customHeight="false" outlineLevel="0" collapsed="false">
      <c r="A10" s="9" t="s">
        <v>21</v>
      </c>
      <c r="B10" s="10" t="n">
        <f aca="false">COUNTIFS(Tasks!$C$5:$C$500,$A10,Tasks!$B$5:$B$500,"",Tasks!$A$5:$A$500,"&lt;&gt;")</f>
        <v>4</v>
      </c>
      <c r="C10" s="10" t="n">
        <f aca="false">COUNTIFS(Tasks!$C$5:$C$500,$A10,Tasks!$B$5:$B$500,"&lt;&gt;")</f>
        <v>10</v>
      </c>
      <c r="D10" s="10" t="n">
        <f aca="false">COUNTIFS(Tasks!$C$5:$C$500,$A10,Tasks!$E$5:$E$500,"In Progress")</f>
        <v>0</v>
      </c>
      <c r="E10" s="10" t="n">
        <f aca="false">COUNTIFS(Tasks!$C$5:$C$500,$A10,Tasks!$E$5:$E$500,"Done")</f>
        <v>0</v>
      </c>
      <c r="F10" s="11" t="n">
        <f aca="false">IFERROR(COUNTIFS(Tasks!$C$5:$C$500,$A10,Tasks!$Q$5:$Q$500,0,Tasks!$E$5:$E$500,"Done")/COUNTIFS(Tasks!$C$5:$C$500,$A10,Tasks!$Q$5:$Q$500,0),0)</f>
        <v>0</v>
      </c>
      <c r="G10" s="12" t="n">
        <f aca="false">IFERROR(IF(_xlfn.MINIFS(Tasks!$J$5:$J$500,Tasks!$C$5:$C$500,$A10,Tasks!$E$5:$E$500,"&lt;&gt;Done")=0,"",_xlfn.MINIFS(Tasks!$J$5:$J$500,Tasks!$C$5:$C$500,$A10,Tasks!$E$5:$E$500,"&lt;&gt;Done")),"")</f>
        <v>46332</v>
      </c>
      <c r="H10" s="13"/>
      <c r="I10" s="14" t="n">
        <f aca="false">SUMIFS(Tasks!$N$5:$N$500,Tasks!$C$5:$C$500,$A10,Tasks!$Q$5:$Q$500,0)</f>
        <v>0</v>
      </c>
      <c r="J10" s="14" t="n">
        <f aca="false">SUMIFS(Tasks!$O$5:$O$500,Tasks!$C$5:$C$500,$A10,Tasks!$Q$5:$Q$500,0)</f>
        <v>0</v>
      </c>
      <c r="K10" s="14" t="str">
        <f aca="false">IF(H10="","",H10-J10)</f>
        <v/>
      </c>
      <c r="L10" s="14" t="n">
        <f aca="false">J10-I10</f>
        <v>0</v>
      </c>
    </row>
    <row r="11" customFormat="false" ht="15" hidden="false" customHeight="false" outlineLevel="0" collapsed="false">
      <c r="A11" s="9" t="s">
        <v>22</v>
      </c>
      <c r="B11" s="10" t="n">
        <f aca="false">COUNTIFS(Tasks!$C$5:$C$500,$A11,Tasks!$B$5:$B$500,"",Tasks!$A$5:$A$500,"&lt;&gt;")</f>
        <v>3</v>
      </c>
      <c r="C11" s="10" t="n">
        <f aca="false">COUNTIFS(Tasks!$C$5:$C$500,$A11,Tasks!$B$5:$B$500,"&lt;&gt;")</f>
        <v>6</v>
      </c>
      <c r="D11" s="10" t="n">
        <f aca="false">COUNTIFS(Tasks!$C$5:$C$500,$A11,Tasks!$E$5:$E$500,"In Progress")</f>
        <v>0</v>
      </c>
      <c r="E11" s="10" t="n">
        <f aca="false">COUNTIFS(Tasks!$C$5:$C$500,$A11,Tasks!$E$5:$E$500,"Done")</f>
        <v>0</v>
      </c>
      <c r="F11" s="11" t="n">
        <f aca="false">IFERROR(COUNTIFS(Tasks!$C$5:$C$500,$A11,Tasks!$Q$5:$Q$500,0,Tasks!$E$5:$E$500,"Done")/COUNTIFS(Tasks!$C$5:$C$500,$A11,Tasks!$Q$5:$Q$500,0),0)</f>
        <v>0</v>
      </c>
      <c r="G11" s="12" t="n">
        <f aca="false">IFERROR(IF(_xlfn.MINIFS(Tasks!$J$5:$J$500,Tasks!$C$5:$C$500,$A11,Tasks!$E$5:$E$500,"&lt;&gt;Done")=0,"",_xlfn.MINIFS(Tasks!$J$5:$J$500,Tasks!$C$5:$C$500,$A11,Tasks!$E$5:$E$500,"&lt;&gt;Done")),"")</f>
        <v>46336</v>
      </c>
      <c r="H11" s="13"/>
      <c r="I11" s="14" t="n">
        <f aca="false">SUMIFS(Tasks!$N$5:$N$500,Tasks!$C$5:$C$500,$A11,Tasks!$Q$5:$Q$500,0)</f>
        <v>0</v>
      </c>
      <c r="J11" s="14" t="n">
        <f aca="false">SUMIFS(Tasks!$O$5:$O$500,Tasks!$C$5:$C$500,$A11,Tasks!$Q$5:$Q$500,0)</f>
        <v>0</v>
      </c>
      <c r="K11" s="14" t="str">
        <f aca="false">IF(H11="","",H11-J11)</f>
        <v/>
      </c>
      <c r="L11" s="14" t="n">
        <f aca="false">J11-I11</f>
        <v>0</v>
      </c>
    </row>
    <row r="12" customFormat="false" ht="15" hidden="false" customHeight="false" outlineLevel="0" collapsed="false">
      <c r="A12" s="9" t="s">
        <v>23</v>
      </c>
      <c r="B12" s="10" t="n">
        <f aca="false">COUNTIFS(Tasks!$C$5:$C$500,$A12,Tasks!$B$5:$B$500,"",Tasks!$A$5:$A$500,"&lt;&gt;")</f>
        <v>1</v>
      </c>
      <c r="C12" s="10" t="n">
        <f aca="false">COUNTIFS(Tasks!$C$5:$C$500,$A12,Tasks!$B$5:$B$500,"&lt;&gt;")</f>
        <v>6</v>
      </c>
      <c r="D12" s="10" t="n">
        <f aca="false">COUNTIFS(Tasks!$C$5:$C$500,$A12,Tasks!$E$5:$E$500,"In Progress")</f>
        <v>0</v>
      </c>
      <c r="E12" s="10" t="n">
        <f aca="false">COUNTIFS(Tasks!$C$5:$C$500,$A12,Tasks!$E$5:$E$500,"Done")</f>
        <v>0</v>
      </c>
      <c r="F12" s="11" t="n">
        <f aca="false">IFERROR(COUNTIFS(Tasks!$C$5:$C$500,$A12,Tasks!$Q$5:$Q$500,0,Tasks!$E$5:$E$500,"Done")/COUNTIFS(Tasks!$C$5:$C$500,$A12,Tasks!$Q$5:$Q$500,0),0)</f>
        <v>0</v>
      </c>
      <c r="G12" s="12" t="n">
        <f aca="false">IFERROR(IF(_xlfn.MINIFS(Tasks!$J$5:$J$500,Tasks!$C$5:$C$500,$A12,Tasks!$E$5:$E$500,"&lt;&gt;Done")=0,"",_xlfn.MINIFS(Tasks!$J$5:$J$500,Tasks!$C$5:$C$500,$A12,Tasks!$E$5:$E$500,"&lt;&gt;Done")),"")</f>
        <v>46336</v>
      </c>
      <c r="H12" s="13"/>
      <c r="I12" s="14" t="n">
        <f aca="false">SUMIFS(Tasks!$N$5:$N$500,Tasks!$C$5:$C$500,$A12,Tasks!$Q$5:$Q$500,0)</f>
        <v>0</v>
      </c>
      <c r="J12" s="14" t="n">
        <f aca="false">SUMIFS(Tasks!$O$5:$O$500,Tasks!$C$5:$C$500,$A12,Tasks!$Q$5:$Q$500,0)</f>
        <v>0</v>
      </c>
      <c r="K12" s="14" t="str">
        <f aca="false">IF(H12="","",H12-J12)</f>
        <v/>
      </c>
      <c r="L12" s="14" t="n">
        <f aca="false">J12-I12</f>
        <v>0</v>
      </c>
    </row>
    <row r="13" customFormat="false" ht="15" hidden="false" customHeight="false" outlineLevel="0" collapsed="false">
      <c r="A13" s="9" t="s">
        <v>24</v>
      </c>
      <c r="B13" s="10" t="n">
        <f aca="false">COUNTIFS(Tasks!$C$5:$C$500,$A13,Tasks!$B$5:$B$500,"",Tasks!$A$5:$A$500,"&lt;&gt;")</f>
        <v>1</v>
      </c>
      <c r="C13" s="10" t="n">
        <f aca="false">COUNTIFS(Tasks!$C$5:$C$500,$A13,Tasks!$B$5:$B$500,"&lt;&gt;")</f>
        <v>4</v>
      </c>
      <c r="D13" s="10" t="n">
        <f aca="false">COUNTIFS(Tasks!$C$5:$C$500,$A13,Tasks!$E$5:$E$500,"In Progress")</f>
        <v>0</v>
      </c>
      <c r="E13" s="10" t="n">
        <f aca="false">COUNTIFS(Tasks!$C$5:$C$500,$A13,Tasks!$E$5:$E$500,"Done")</f>
        <v>0</v>
      </c>
      <c r="F13" s="11" t="n">
        <f aca="false">IFERROR(COUNTIFS(Tasks!$C$5:$C$500,$A13,Tasks!$Q$5:$Q$500,0,Tasks!$E$5:$E$500,"Done")/COUNTIFS(Tasks!$C$5:$C$500,$A13,Tasks!$Q$5:$Q$500,0),0)</f>
        <v>0</v>
      </c>
      <c r="G13" s="12" t="n">
        <f aca="false">IFERROR(IF(_xlfn.MINIFS(Tasks!$J$5:$J$500,Tasks!$C$5:$C$500,$A13,Tasks!$E$5:$E$500,"&lt;&gt;Done")=0,"",_xlfn.MINIFS(Tasks!$J$5:$J$500,Tasks!$C$5:$C$500,$A13,Tasks!$E$5:$E$500,"&lt;&gt;Done")),"")</f>
        <v>46336</v>
      </c>
      <c r="H13" s="13"/>
      <c r="I13" s="14" t="n">
        <f aca="false">SUMIFS(Tasks!$N$5:$N$500,Tasks!$C$5:$C$500,$A13,Tasks!$Q$5:$Q$500,0)</f>
        <v>0</v>
      </c>
      <c r="J13" s="14" t="n">
        <f aca="false">SUMIFS(Tasks!$O$5:$O$500,Tasks!$C$5:$C$500,$A13,Tasks!$Q$5:$Q$500,0)</f>
        <v>0</v>
      </c>
      <c r="K13" s="14" t="str">
        <f aca="false">IF(H13="","",H13-J13)</f>
        <v/>
      </c>
      <c r="L13" s="14" t="n">
        <f aca="false">J13-I13</f>
        <v>0</v>
      </c>
    </row>
    <row r="14" customFormat="false" ht="15" hidden="false" customHeight="false" outlineLevel="0" collapsed="false">
      <c r="A14" s="9" t="s">
        <v>25</v>
      </c>
      <c r="B14" s="10" t="n">
        <f aca="false">COUNTIFS(Tasks!$C$5:$C$500,$A14,Tasks!$B$5:$B$500,"",Tasks!$A$5:$A$500,"&lt;&gt;")</f>
        <v>2</v>
      </c>
      <c r="C14" s="10" t="n">
        <f aca="false">COUNTIFS(Tasks!$C$5:$C$500,$A14,Tasks!$B$5:$B$500,"&lt;&gt;")</f>
        <v>4</v>
      </c>
      <c r="D14" s="10" t="n">
        <f aca="false">COUNTIFS(Tasks!$C$5:$C$500,$A14,Tasks!$E$5:$E$500,"In Progress")</f>
        <v>0</v>
      </c>
      <c r="E14" s="10" t="n">
        <f aca="false">COUNTIFS(Tasks!$C$5:$C$500,$A14,Tasks!$E$5:$E$500,"Done")</f>
        <v>0</v>
      </c>
      <c r="F14" s="11" t="n">
        <f aca="false">IFERROR(COUNTIFS(Tasks!$C$5:$C$500,$A14,Tasks!$Q$5:$Q$500,0,Tasks!$E$5:$E$500,"Done")/COUNTIFS(Tasks!$C$5:$C$500,$A14,Tasks!$Q$5:$Q$500,0),0)</f>
        <v>0</v>
      </c>
      <c r="G14" s="12" t="n">
        <f aca="false">IFERROR(IF(_xlfn.MINIFS(Tasks!$J$5:$J$500,Tasks!$C$5:$C$500,$A14,Tasks!$E$5:$E$500,"&lt;&gt;Done")=0,"",_xlfn.MINIFS(Tasks!$J$5:$J$500,Tasks!$C$5:$C$500,$A14,Tasks!$E$5:$E$500,"&lt;&gt;Done")),"")</f>
        <v>46339</v>
      </c>
      <c r="H14" s="13"/>
      <c r="I14" s="14" t="n">
        <f aca="false">SUMIFS(Tasks!$N$5:$N$500,Tasks!$C$5:$C$500,$A14,Tasks!$Q$5:$Q$500,0)</f>
        <v>0</v>
      </c>
      <c r="J14" s="14" t="n">
        <f aca="false">SUMIFS(Tasks!$O$5:$O$500,Tasks!$C$5:$C$500,$A14,Tasks!$Q$5:$Q$500,0)</f>
        <v>0</v>
      </c>
      <c r="K14" s="14" t="str">
        <f aca="false">IF(H14="","",H14-J14)</f>
        <v/>
      </c>
      <c r="L14" s="14" t="n">
        <f aca="false">J14-I14</f>
        <v>0</v>
      </c>
    </row>
    <row r="15" customFormat="false" ht="15" hidden="false" customHeight="false" outlineLevel="0" collapsed="false">
      <c r="A15" s="9" t="s">
        <v>26</v>
      </c>
      <c r="B15" s="10" t="n">
        <f aca="false">COUNTIFS(Tasks!$C$5:$C$500,$A15,Tasks!$B$5:$B$500,"",Tasks!$A$5:$A$500,"&lt;&gt;")</f>
        <v>3</v>
      </c>
      <c r="C15" s="10" t="n">
        <f aca="false">COUNTIFS(Tasks!$C$5:$C$500,$A15,Tasks!$B$5:$B$500,"&lt;&gt;")</f>
        <v>3</v>
      </c>
      <c r="D15" s="10" t="n">
        <f aca="false">COUNTIFS(Tasks!$C$5:$C$500,$A15,Tasks!$E$5:$E$500,"In Progress")</f>
        <v>0</v>
      </c>
      <c r="E15" s="10" t="n">
        <f aca="false">COUNTIFS(Tasks!$C$5:$C$500,$A15,Tasks!$E$5:$E$500,"Done")</f>
        <v>0</v>
      </c>
      <c r="F15" s="11" t="n">
        <f aca="false">IFERROR(COUNTIFS(Tasks!$C$5:$C$500,$A15,Tasks!$Q$5:$Q$500,0,Tasks!$E$5:$E$500,"Done")/COUNTIFS(Tasks!$C$5:$C$500,$A15,Tasks!$Q$5:$Q$500,0),0)</f>
        <v>0</v>
      </c>
      <c r="G15" s="12" t="n">
        <f aca="false">IFERROR(IF(_xlfn.MINIFS(Tasks!$J$5:$J$500,Tasks!$C$5:$C$500,$A15,Tasks!$E$5:$E$500,"&lt;&gt;Done")=0,"",_xlfn.MINIFS(Tasks!$J$5:$J$500,Tasks!$C$5:$C$500,$A15,Tasks!$E$5:$E$500,"&lt;&gt;Done")),"")</f>
        <v>46339</v>
      </c>
      <c r="H15" s="13"/>
      <c r="I15" s="14" t="n">
        <f aca="false">SUMIFS(Tasks!$N$5:$N$500,Tasks!$C$5:$C$500,$A15,Tasks!$Q$5:$Q$500,0)</f>
        <v>0</v>
      </c>
      <c r="J15" s="14" t="n">
        <f aca="false">SUMIFS(Tasks!$O$5:$O$500,Tasks!$C$5:$C$500,$A15,Tasks!$Q$5:$Q$500,0)</f>
        <v>0</v>
      </c>
      <c r="K15" s="14" t="str">
        <f aca="false">IF(H15="","",H15-J15)</f>
        <v/>
      </c>
      <c r="L15" s="14" t="n">
        <f aca="false">J15-I15</f>
        <v>0</v>
      </c>
    </row>
    <row r="16" customFormat="false" ht="15" hidden="false" customHeight="false" outlineLevel="0" collapsed="false">
      <c r="A16" s="9" t="s">
        <v>27</v>
      </c>
      <c r="B16" s="10" t="n">
        <f aca="false">COUNTIFS(Tasks!$C$5:$C$500,$A16,Tasks!$B$5:$B$500,"",Tasks!$A$5:$A$500,"&lt;&gt;")</f>
        <v>10</v>
      </c>
      <c r="C16" s="10" t="n">
        <f aca="false">COUNTIFS(Tasks!$C$5:$C$500,$A16,Tasks!$B$5:$B$500,"&lt;&gt;")</f>
        <v>3</v>
      </c>
      <c r="D16" s="10" t="n">
        <f aca="false">COUNTIFS(Tasks!$C$5:$C$500,$A16,Tasks!$E$5:$E$500,"In Progress")</f>
        <v>0</v>
      </c>
      <c r="E16" s="10" t="n">
        <f aca="false">COUNTIFS(Tasks!$C$5:$C$500,$A16,Tasks!$E$5:$E$500,"Done")</f>
        <v>0</v>
      </c>
      <c r="F16" s="11" t="n">
        <f aca="false">IFERROR(COUNTIFS(Tasks!$C$5:$C$500,$A16,Tasks!$Q$5:$Q$500,0,Tasks!$E$5:$E$500,"Done")/COUNTIFS(Tasks!$C$5:$C$500,$A16,Tasks!$Q$5:$Q$500,0),0)</f>
        <v>0</v>
      </c>
      <c r="G16" s="12" t="str">
        <f aca="false">IFERROR(IF(_xlfn.MINIFS(Tasks!$J$5:$J$500,Tasks!$C$5:$C$500,$A16,Tasks!$E$5:$E$500,"&lt;&gt;Done")=0,"",_xlfn.MINIFS(Tasks!$J$5:$J$500,Tasks!$C$5:$C$500,$A16,Tasks!$E$5:$E$500,"&lt;&gt;Done")),"")</f>
        <v/>
      </c>
      <c r="H16" s="13"/>
      <c r="I16" s="14" t="n">
        <f aca="false">SUMIFS(Tasks!$N$5:$N$500,Tasks!$C$5:$C$500,$A16,Tasks!$Q$5:$Q$500,0)</f>
        <v>0</v>
      </c>
      <c r="J16" s="14" t="n">
        <f aca="false">SUMIFS(Tasks!$O$5:$O$500,Tasks!$C$5:$C$500,$A16,Tasks!$Q$5:$Q$500,0)</f>
        <v>0</v>
      </c>
      <c r="K16" s="14" t="str">
        <f aca="false">IF(H16="","",H16-J16)</f>
        <v/>
      </c>
      <c r="L16" s="14" t="n">
        <f aca="false">J16-I16</f>
        <v>0</v>
      </c>
    </row>
    <row r="17" customFormat="false" ht="15" hidden="false" customHeight="false" outlineLevel="0" collapsed="false">
      <c r="A17" s="9" t="s">
        <v>28</v>
      </c>
      <c r="B17" s="10" t="n">
        <f aca="false">COUNTIFS(Tasks!$C$5:$C$500,$A17,Tasks!$B$5:$B$500,"",Tasks!$A$5:$A$500,"&lt;&gt;")</f>
        <v>7</v>
      </c>
      <c r="C17" s="10" t="n">
        <f aca="false">COUNTIFS(Tasks!$C$5:$C$500,$A17,Tasks!$B$5:$B$500,"&lt;&gt;")</f>
        <v>0</v>
      </c>
      <c r="D17" s="10" t="n">
        <f aca="false">COUNTIFS(Tasks!$C$5:$C$500,$A17,Tasks!$E$5:$E$500,"In Progress")</f>
        <v>0</v>
      </c>
      <c r="E17" s="10" t="n">
        <f aca="false">COUNTIFS(Tasks!$C$5:$C$500,$A17,Tasks!$E$5:$E$500,"Done")</f>
        <v>0</v>
      </c>
      <c r="F17" s="11" t="n">
        <f aca="false">IFERROR(COUNTIFS(Tasks!$C$5:$C$500,$A17,Tasks!$Q$5:$Q$500,0,Tasks!$E$5:$E$500,"Done")/COUNTIFS(Tasks!$C$5:$C$500,$A17,Tasks!$Q$5:$Q$500,0),0)</f>
        <v>0</v>
      </c>
      <c r="G17" s="12" t="str">
        <f aca="false">IFERROR(IF(_xlfn.MINIFS(Tasks!$J$5:$J$500,Tasks!$C$5:$C$500,$A17,Tasks!$E$5:$E$500,"&lt;&gt;Done")=0,"",_xlfn.MINIFS(Tasks!$J$5:$J$500,Tasks!$C$5:$C$500,$A17,Tasks!$E$5:$E$500,"&lt;&gt;Done")),"")</f>
        <v/>
      </c>
      <c r="H17" s="13"/>
      <c r="I17" s="14" t="n">
        <f aca="false">SUMIFS(Tasks!$N$5:$N$500,Tasks!$C$5:$C$500,$A17,Tasks!$Q$5:$Q$500,0)</f>
        <v>0</v>
      </c>
      <c r="J17" s="14" t="n">
        <f aca="false">SUMIFS(Tasks!$O$5:$O$500,Tasks!$C$5:$C$500,$A17,Tasks!$Q$5:$Q$500,0)</f>
        <v>0</v>
      </c>
      <c r="K17" s="14" t="str">
        <f aca="false">IF(H17="","",H17-J17)</f>
        <v/>
      </c>
      <c r="L17" s="14" t="n">
        <f aca="false">J17-I17</f>
        <v>0</v>
      </c>
    </row>
    <row r="18" customFormat="false" ht="15" hidden="false" customHeight="false" outlineLevel="0" collapsed="false">
      <c r="A18" s="9" t="s">
        <v>29</v>
      </c>
      <c r="B18" s="10" t="n">
        <f aca="false">COUNTIFS(Tasks!$C$5:$C$500,$A18,Tasks!$B$5:$B$500,"",Tasks!$A$5:$A$500,"&lt;&gt;")</f>
        <v>8</v>
      </c>
      <c r="C18" s="10" t="n">
        <f aca="false">COUNTIFS(Tasks!$C$5:$C$500,$A18,Tasks!$B$5:$B$500,"&lt;&gt;")</f>
        <v>0</v>
      </c>
      <c r="D18" s="10" t="n">
        <f aca="false">COUNTIFS(Tasks!$C$5:$C$500,$A18,Tasks!$E$5:$E$500,"In Progress")</f>
        <v>0</v>
      </c>
      <c r="E18" s="10" t="n">
        <f aca="false">COUNTIFS(Tasks!$C$5:$C$500,$A18,Tasks!$E$5:$E$500,"Done")</f>
        <v>0</v>
      </c>
      <c r="F18" s="11" t="n">
        <f aca="false">IFERROR(COUNTIFS(Tasks!$C$5:$C$500,$A18,Tasks!$Q$5:$Q$500,0,Tasks!$E$5:$E$500,"Done")/COUNTIFS(Tasks!$C$5:$C$500,$A18,Tasks!$Q$5:$Q$500,0),0)</f>
        <v>0</v>
      </c>
      <c r="G18" s="12" t="str">
        <f aca="false">IFERROR(IF(_xlfn.MINIFS(Tasks!$J$5:$J$500,Tasks!$C$5:$C$500,$A18,Tasks!$E$5:$E$500,"&lt;&gt;Done")=0,"",_xlfn.MINIFS(Tasks!$J$5:$J$500,Tasks!$C$5:$C$500,$A18,Tasks!$E$5:$E$500,"&lt;&gt;Done")),"")</f>
        <v/>
      </c>
      <c r="H18" s="13"/>
      <c r="I18" s="14" t="n">
        <f aca="false">SUMIFS(Tasks!$N$5:$N$500,Tasks!$C$5:$C$500,$A18,Tasks!$Q$5:$Q$500,0)</f>
        <v>0</v>
      </c>
      <c r="J18" s="14" t="n">
        <f aca="false">SUMIFS(Tasks!$O$5:$O$500,Tasks!$C$5:$C$500,$A18,Tasks!$Q$5:$Q$500,0)</f>
        <v>0</v>
      </c>
      <c r="K18" s="14" t="str">
        <f aca="false">IF(H18="","",H18-J18)</f>
        <v/>
      </c>
      <c r="L18" s="14" t="n">
        <f aca="false">J18-I18</f>
        <v>0</v>
      </c>
    </row>
    <row r="19" customFormat="false" ht="15" hidden="false" customHeight="false" outlineLevel="0" collapsed="false">
      <c r="A19" s="9" t="s">
        <v>30</v>
      </c>
      <c r="B19" s="10" t="n">
        <f aca="false">COUNTIFS(Tasks!$C$5:$C$500,$A19,Tasks!$B$5:$B$500,"",Tasks!$A$5:$A$500,"&lt;&gt;")</f>
        <v>8</v>
      </c>
      <c r="C19" s="10" t="n">
        <f aca="false">COUNTIFS(Tasks!$C$5:$C$500,$A19,Tasks!$B$5:$B$500,"&lt;&gt;")</f>
        <v>0</v>
      </c>
      <c r="D19" s="10" t="n">
        <f aca="false">COUNTIFS(Tasks!$C$5:$C$500,$A19,Tasks!$E$5:$E$500,"In Progress")</f>
        <v>0</v>
      </c>
      <c r="E19" s="10" t="n">
        <f aca="false">COUNTIFS(Tasks!$C$5:$C$500,$A19,Tasks!$E$5:$E$500,"Done")</f>
        <v>0</v>
      </c>
      <c r="F19" s="11" t="n">
        <f aca="false">IFERROR(COUNTIFS(Tasks!$C$5:$C$500,$A19,Tasks!$Q$5:$Q$500,0,Tasks!$E$5:$E$500,"Done")/COUNTIFS(Tasks!$C$5:$C$500,$A19,Tasks!$Q$5:$Q$500,0),0)</f>
        <v>0</v>
      </c>
      <c r="G19" s="12" t="str">
        <f aca="false">IFERROR(IF(_xlfn.MINIFS(Tasks!$J$5:$J$500,Tasks!$C$5:$C$500,$A19,Tasks!$E$5:$E$500,"&lt;&gt;Done")=0,"",_xlfn.MINIFS(Tasks!$J$5:$J$500,Tasks!$C$5:$C$500,$A19,Tasks!$E$5:$E$500,"&lt;&gt;Done")),"")</f>
        <v/>
      </c>
      <c r="H19" s="13"/>
      <c r="I19" s="14" t="n">
        <f aca="false">SUMIFS(Tasks!$N$5:$N$500,Tasks!$C$5:$C$500,$A19,Tasks!$Q$5:$Q$500,0)</f>
        <v>0</v>
      </c>
      <c r="J19" s="14" t="n">
        <f aca="false">SUMIFS(Tasks!$O$5:$O$500,Tasks!$C$5:$C$500,$A19,Tasks!$Q$5:$Q$500,0)</f>
        <v>0</v>
      </c>
      <c r="K19" s="14" t="str">
        <f aca="false">IF(H19="","",H19-J19)</f>
        <v/>
      </c>
      <c r="L19" s="14" t="n">
        <f aca="false">J19-I19</f>
        <v>0</v>
      </c>
    </row>
    <row r="20" customFormat="false" ht="15" hidden="false" customHeight="false" outlineLevel="0" collapsed="false">
      <c r="A20" s="9" t="s">
        <v>31</v>
      </c>
      <c r="B20" s="10" t="n">
        <f aca="false">COUNTIFS(Tasks!$C$5:$C$500,$A20,Tasks!$B$5:$B$500,"",Tasks!$A$5:$A$500,"&lt;&gt;")</f>
        <v>6</v>
      </c>
      <c r="C20" s="10" t="n">
        <f aca="false">COUNTIFS(Tasks!$C$5:$C$500,$A20,Tasks!$B$5:$B$500,"&lt;&gt;")</f>
        <v>0</v>
      </c>
      <c r="D20" s="10" t="n">
        <f aca="false">COUNTIFS(Tasks!$C$5:$C$500,$A20,Tasks!$E$5:$E$500,"In Progress")</f>
        <v>0</v>
      </c>
      <c r="E20" s="10" t="n">
        <f aca="false">COUNTIFS(Tasks!$C$5:$C$500,$A20,Tasks!$E$5:$E$500,"Done")</f>
        <v>0</v>
      </c>
      <c r="F20" s="11" t="n">
        <f aca="false">IFERROR(COUNTIFS(Tasks!$C$5:$C$500,$A20,Tasks!$Q$5:$Q$500,0,Tasks!$E$5:$E$500,"Done")/COUNTIFS(Tasks!$C$5:$C$500,$A20,Tasks!$Q$5:$Q$500,0),0)</f>
        <v>0</v>
      </c>
      <c r="G20" s="12" t="str">
        <f aca="false">IFERROR(IF(_xlfn.MINIFS(Tasks!$J$5:$J$500,Tasks!$C$5:$C$500,$A20,Tasks!$E$5:$E$500,"&lt;&gt;Done")=0,"",_xlfn.MINIFS(Tasks!$J$5:$J$500,Tasks!$C$5:$C$500,$A20,Tasks!$E$5:$E$500,"&lt;&gt;Done")),"")</f>
        <v/>
      </c>
      <c r="H20" s="13"/>
      <c r="I20" s="14" t="n">
        <f aca="false">SUMIFS(Tasks!$N$5:$N$500,Tasks!$C$5:$C$500,$A20,Tasks!$Q$5:$Q$500,0)</f>
        <v>0</v>
      </c>
      <c r="J20" s="14" t="n">
        <f aca="false">SUMIFS(Tasks!$O$5:$O$500,Tasks!$C$5:$C$500,$A20,Tasks!$Q$5:$Q$500,0)</f>
        <v>0</v>
      </c>
      <c r="K20" s="14" t="str">
        <f aca="false">IF(H20="","",H20-J20)</f>
        <v/>
      </c>
      <c r="L20" s="14" t="n">
        <f aca="false">J20-I20</f>
        <v>0</v>
      </c>
    </row>
    <row r="21" customFormat="false" ht="15" hidden="false" customHeight="false" outlineLevel="0" collapsed="false">
      <c r="A21" s="9" t="s">
        <v>32</v>
      </c>
      <c r="B21" s="10" t="n">
        <f aca="false">COUNTIFS(Tasks!$C$5:$C$500,$A21,Tasks!$B$5:$B$500,"",Tasks!$A$5:$A$500,"&lt;&gt;")</f>
        <v>0</v>
      </c>
      <c r="C21" s="10" t="n">
        <f aca="false">COUNTIFS(Tasks!$C$5:$C$500,$A21,Tasks!$B$5:$B$500,"&lt;&gt;")</f>
        <v>0</v>
      </c>
      <c r="D21" s="10" t="n">
        <f aca="false">COUNTIFS(Tasks!$C$5:$C$500,$A21,Tasks!$E$5:$E$500,"In Progress")</f>
        <v>0</v>
      </c>
      <c r="E21" s="10" t="n">
        <f aca="false">COUNTIFS(Tasks!$C$5:$C$500,$A21,Tasks!$E$5:$E$500,"Done")</f>
        <v>0</v>
      </c>
      <c r="F21" s="11" t="n">
        <f aca="false">IFERROR(COUNTIFS(Tasks!$C$5:$C$500,$A21,Tasks!$Q$5:$Q$500,0,Tasks!$E$5:$E$500,"Done")/COUNTIFS(Tasks!$C$5:$C$500,$A21,Tasks!$Q$5:$Q$500,0),0)</f>
        <v>0</v>
      </c>
      <c r="G21" s="12" t="str">
        <f aca="false">IFERROR(IF(_xlfn.MINIFS(Tasks!$J$5:$J$500,Tasks!$C$5:$C$500,$A21,Tasks!$E$5:$E$500,"&lt;&gt;Done")=0,"",_xlfn.MINIFS(Tasks!$J$5:$J$500,Tasks!$C$5:$C$500,$A21,Tasks!$E$5:$E$500,"&lt;&gt;Done")),"")</f>
        <v/>
      </c>
      <c r="H21" s="13"/>
      <c r="I21" s="14" t="n">
        <f aca="false">SUMIFS(Tasks!$N$5:$N$500,Tasks!$C$5:$C$500,$A21,Tasks!$Q$5:$Q$500,0)</f>
        <v>0</v>
      </c>
      <c r="J21" s="14" t="n">
        <f aca="false">SUMIFS(Tasks!$O$5:$O$500,Tasks!$C$5:$C$500,$A21,Tasks!$Q$5:$Q$500,0)</f>
        <v>0</v>
      </c>
      <c r="K21" s="14" t="str">
        <f aca="false">IF(H21="","",H21-J21)</f>
        <v/>
      </c>
      <c r="L21" s="14" t="n">
        <f aca="false">J21-I21</f>
        <v>0</v>
      </c>
    </row>
    <row r="22" customFormat="false" ht="15" hidden="false" customHeight="false" outlineLevel="0" collapsed="false">
      <c r="A22" s="15" t="s">
        <v>33</v>
      </c>
      <c r="B22" s="16" t="n">
        <f aca="false">SUM(B9:B21)</f>
        <v>55</v>
      </c>
      <c r="C22" s="16" t="n">
        <f aca="false">SUM(C9:C21)</f>
        <v>42</v>
      </c>
      <c r="D22" s="16" t="n">
        <f aca="false">SUM(D9:D21)</f>
        <v>0</v>
      </c>
      <c r="E22" s="16" t="n">
        <f aca="false">SUM(E9:E21)</f>
        <v>0</v>
      </c>
      <c r="F22" s="17" t="n">
        <f aca="false">E6</f>
        <v>0</v>
      </c>
      <c r="G22" s="18" t="n">
        <f aca="false">IFERROR(IF(MIN(G9:G21)=0,"",MIN(G9:G21)),"")</f>
        <v>46330</v>
      </c>
      <c r="H22" s="19" t="n">
        <f aca="false">SUM(H9:H21)</f>
        <v>0</v>
      </c>
      <c r="I22" s="19" t="n">
        <f aca="false">SUM(I9:I21)</f>
        <v>0</v>
      </c>
      <c r="J22" s="19" t="n">
        <f aca="false">SUM(J9:J21)</f>
        <v>0</v>
      </c>
      <c r="K22" s="19" t="n">
        <f aca="false">H22-J22</f>
        <v>0</v>
      </c>
      <c r="L22" s="19" t="n">
        <f aca="false">J22-I22</f>
        <v>0</v>
      </c>
    </row>
    <row r="24" customFormat="false" ht="15" hidden="false" customHeight="false" outlineLevel="0" collapsed="false">
      <c r="A24" s="20" t="s">
        <v>34</v>
      </c>
    </row>
    <row r="25" customFormat="false" ht="15" hidden="false" customHeight="false" outlineLevel="0" collapsed="false">
      <c r="A25" s="21" t="s">
        <v>35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customFormat="false" ht="15" hidden="false" customHeight="false" outlineLevel="0" collapsed="false">
      <c r="A26" s="21" t="s">
        <v>36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customFormat="false" ht="15" hidden="false" customHeight="false" outlineLevel="0" collapsed="false">
      <c r="A27" s="21" t="s">
        <v>37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customFormat="false" ht="15" hidden="false" customHeight="false" outlineLevel="0" collapsed="false">
      <c r="A28" s="21" t="s">
        <v>38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customFormat="false" ht="15" hidden="false" customHeight="false" outlineLevel="0" collapsed="false">
      <c r="A29" s="21" t="s">
        <v>39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customFormat="false" ht="15" hidden="false" customHeight="false" outlineLevel="0" collapsed="false">
      <c r="A30" s="21" t="s">
        <v>40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</sheetData>
  <mergeCells count="6">
    <mergeCell ref="A25:L25"/>
    <mergeCell ref="A26:L26"/>
    <mergeCell ref="A27:L27"/>
    <mergeCell ref="A28:L28"/>
    <mergeCell ref="A29:L29"/>
    <mergeCell ref="A30:L30"/>
  </mergeCells>
  <conditionalFormatting sqref="E4">
    <cfRule type="expression" priority="2" aboveAverage="0" equalAverage="0" bottom="0" percent="0" rank="0" text="" dxfId="0">
      <formula>$E$4&gt;0</formula>
    </cfRule>
  </conditionalFormatting>
  <conditionalFormatting sqref="F9:F22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{45576615-1A9A-4C4E-BE40-BB8CEA8E4B3A}</x14:id>
        </ext>
      </extLst>
    </cfRule>
  </conditionalFormatting>
  <conditionalFormatting sqref="K9:K22">
    <cfRule type="expression" priority="4" aboveAverage="0" equalAverage="0" bottom="0" percent="0" rank="0" text="" dxfId="0">
      <formula>AND(ISNUMBER(K9),K9&lt;0)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76615-1A9A-4C4E-BE40-BB8CEA8E4B3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F9:F22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1" min="9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14"/>
    <col collapsed="false" customWidth="true" hidden="false" outlineLevel="0" max="20" min="20" style="0" width="60"/>
  </cols>
  <sheetData>
    <row r="1" customFormat="false" ht="19.7" hidden="false" customHeight="false" outlineLevel="0" collapsed="false">
      <c r="A1" s="22" t="s">
        <v>41</v>
      </c>
    </row>
    <row r="2" customFormat="false" ht="30" hidden="false" customHeight="true" outlineLevel="0" collapsed="false">
      <c r="A2" s="23" t="s">
        <v>42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4" customFormat="false" ht="31.5" hidden="false" customHeight="true" outlineLevel="0" collapsed="false">
      <c r="A4" s="8" t="s">
        <v>43</v>
      </c>
      <c r="B4" s="8" t="s">
        <v>44</v>
      </c>
      <c r="C4" s="8" t="s">
        <v>8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53</v>
      </c>
      <c r="M4" s="8" t="s">
        <v>54</v>
      </c>
      <c r="N4" s="8" t="s">
        <v>16</v>
      </c>
      <c r="O4" s="8" t="s">
        <v>55</v>
      </c>
      <c r="P4" s="8" t="s">
        <v>56</v>
      </c>
      <c r="Q4" s="8" t="s">
        <v>57</v>
      </c>
      <c r="R4" s="8" t="s">
        <v>58</v>
      </c>
      <c r="S4" s="8" t="s">
        <v>59</v>
      </c>
      <c r="T4" s="8" t="s">
        <v>60</v>
      </c>
    </row>
    <row r="5" customFormat="false" ht="15" hidden="false" customHeight="false" outlineLevel="0" collapsed="false">
      <c r="A5" s="24" t="s">
        <v>61</v>
      </c>
      <c r="B5" s="24"/>
      <c r="C5" s="9" t="s">
        <v>20</v>
      </c>
      <c r="D5" s="25" t="s">
        <v>62</v>
      </c>
      <c r="E5" s="9" t="s">
        <v>63</v>
      </c>
      <c r="F5" s="24" t="s">
        <v>64</v>
      </c>
      <c r="G5" s="9" t="s">
        <v>65</v>
      </c>
      <c r="H5" s="9" t="s">
        <v>66</v>
      </c>
      <c r="I5" s="26" t="n">
        <v>46330</v>
      </c>
      <c r="J5" s="26" t="n">
        <v>46330</v>
      </c>
      <c r="K5" s="26"/>
      <c r="L5" s="24"/>
      <c r="M5" s="24" t="s">
        <v>67</v>
      </c>
      <c r="N5" s="14"/>
      <c r="O5" s="14"/>
      <c r="P5" s="27" t="str">
        <f aca="false">IF(OR(N5="",O5=""),"",O5-N5)</f>
        <v/>
      </c>
      <c r="Q5" s="28" t="n">
        <f aca="false">IF(A5="","",COUNTIF($B$5:$B$500,A5))</f>
        <v>4</v>
      </c>
      <c r="R5" s="29" t="n">
        <f aca="false">IF(A5="","",IF(Q5&gt;0,COUNTIFS($B$5:$B$500,A5,$E$5:$E$500,"Done")/Q5,IF(E5="Done",1,0)))</f>
        <v>0</v>
      </c>
      <c r="S5" s="30" t="str">
        <f aca="true">IF(OR(A5="",E5="Done",J5=""),"",IF(J5&lt;TODAY(),"OVERDUE",IF(J5-TODAY()&lt;=7,"Due this week","")))</f>
        <v/>
      </c>
      <c r="T5" s="25" t="s">
        <v>68</v>
      </c>
    </row>
    <row r="6" customFormat="false" ht="15" hidden="false" customHeight="false" outlineLevel="0" collapsed="false">
      <c r="A6" s="24" t="s">
        <v>69</v>
      </c>
      <c r="B6" s="24" t="s">
        <v>61</v>
      </c>
      <c r="C6" s="9" t="s">
        <v>20</v>
      </c>
      <c r="D6" s="31" t="s">
        <v>70</v>
      </c>
      <c r="E6" s="9" t="s">
        <v>71</v>
      </c>
      <c r="F6" s="24" t="s">
        <v>64</v>
      </c>
      <c r="G6" s="9" t="s">
        <v>65</v>
      </c>
      <c r="H6" s="9" t="s">
        <v>66</v>
      </c>
      <c r="I6" s="26" t="n">
        <v>46330</v>
      </c>
      <c r="J6" s="26" t="n">
        <v>46331</v>
      </c>
      <c r="K6" s="26"/>
      <c r="L6" s="24"/>
      <c r="M6" s="24" t="s">
        <v>67</v>
      </c>
      <c r="N6" s="14"/>
      <c r="O6" s="14"/>
      <c r="P6" s="27" t="str">
        <f aca="false">IF(OR(N6="",O6=""),"",O6-N6)</f>
        <v/>
      </c>
      <c r="Q6" s="28" t="n">
        <f aca="false">IF(A6="","",COUNTIF($B$5:$B$500,A6))</f>
        <v>0</v>
      </c>
      <c r="R6" s="29" t="n">
        <f aca="false">IF(A6="","",IF(Q6&gt;0,COUNTIFS($B$5:$B$500,A6,$E$5:$E$500,"Done")/Q6,IF(E6="Done",1,0)))</f>
        <v>0</v>
      </c>
      <c r="S6" s="30" t="str">
        <f aca="true">IF(OR(A6="",E6="Done",J6=""),"",IF(J6&lt;TODAY(),"OVERDUE",IF(J6-TODAY()&lt;=7,"Due this week","")))</f>
        <v/>
      </c>
      <c r="T6" s="25"/>
    </row>
    <row r="7" customFormat="false" ht="15" hidden="false" customHeight="false" outlineLevel="0" collapsed="false">
      <c r="A7" s="24" t="s">
        <v>72</v>
      </c>
      <c r="B7" s="24" t="s">
        <v>61</v>
      </c>
      <c r="C7" s="9" t="s">
        <v>20</v>
      </c>
      <c r="D7" s="31" t="s">
        <v>73</v>
      </c>
      <c r="E7" s="9" t="s">
        <v>71</v>
      </c>
      <c r="F7" s="24" t="s">
        <v>64</v>
      </c>
      <c r="G7" s="9" t="s">
        <v>65</v>
      </c>
      <c r="H7" s="9" t="s">
        <v>66</v>
      </c>
      <c r="I7" s="26" t="n">
        <v>46330</v>
      </c>
      <c r="J7" s="26" t="n">
        <v>46330</v>
      </c>
      <c r="K7" s="26"/>
      <c r="L7" s="24"/>
      <c r="M7" s="24" t="s">
        <v>67</v>
      </c>
      <c r="N7" s="14"/>
      <c r="O7" s="14"/>
      <c r="P7" s="27" t="str">
        <f aca="false">IF(OR(N7="",O7=""),"",O7-N7)</f>
        <v/>
      </c>
      <c r="Q7" s="28" t="n">
        <f aca="false">IF(A7="","",COUNTIF($B$5:$B$500,A7))</f>
        <v>0</v>
      </c>
      <c r="R7" s="29" t="n">
        <f aca="false">IF(A7="","",IF(Q7&gt;0,COUNTIFS($B$5:$B$500,A7,$E$5:$E$500,"Done")/Q7,IF(E7="Done",1,0)))</f>
        <v>0</v>
      </c>
      <c r="S7" s="30" t="str">
        <f aca="true">IF(OR(A7="",E7="Done",J7=""),"",IF(J7&lt;TODAY(),"OVERDUE",IF(J7-TODAY()&lt;=7,"Due this week","")))</f>
        <v/>
      </c>
      <c r="T7" s="25" t="s">
        <v>74</v>
      </c>
    </row>
    <row r="8" customFormat="false" ht="15" hidden="false" customHeight="false" outlineLevel="0" collapsed="false">
      <c r="A8" s="24" t="s">
        <v>75</v>
      </c>
      <c r="B8" s="24" t="s">
        <v>61</v>
      </c>
      <c r="C8" s="9" t="s">
        <v>20</v>
      </c>
      <c r="D8" s="31" t="s">
        <v>76</v>
      </c>
      <c r="E8" s="9" t="s">
        <v>71</v>
      </c>
      <c r="F8" s="24" t="s">
        <v>77</v>
      </c>
      <c r="G8" s="9" t="s">
        <v>65</v>
      </c>
      <c r="H8" s="9" t="s">
        <v>66</v>
      </c>
      <c r="I8" s="26" t="n">
        <v>46330</v>
      </c>
      <c r="J8" s="26" t="n">
        <v>46331</v>
      </c>
      <c r="K8" s="26"/>
      <c r="L8" s="24"/>
      <c r="M8" s="24" t="s">
        <v>67</v>
      </c>
      <c r="N8" s="14"/>
      <c r="O8" s="14"/>
      <c r="P8" s="27" t="str">
        <f aca="false">IF(OR(N8="",O8=""),"",O8-N8)</f>
        <v/>
      </c>
      <c r="Q8" s="28" t="n">
        <f aca="false">IF(A8="","",COUNTIF($B$5:$B$500,A8))</f>
        <v>0</v>
      </c>
      <c r="R8" s="29" t="n">
        <f aca="false">IF(A8="","",IF(Q8&gt;0,COUNTIFS($B$5:$B$500,A8,$E$5:$E$500,"Done")/Q8,IF(E8="Done",1,0)))</f>
        <v>0</v>
      </c>
      <c r="S8" s="30" t="str">
        <f aca="true">IF(OR(A8="",E8="Done",J8=""),"",IF(J8&lt;TODAY(),"OVERDUE",IF(J8-TODAY()&lt;=7,"Due this week","")))</f>
        <v/>
      </c>
      <c r="T8" s="25" t="s">
        <v>78</v>
      </c>
    </row>
    <row r="9" customFormat="false" ht="23.85" hidden="false" customHeight="false" outlineLevel="0" collapsed="false">
      <c r="A9" s="24" t="s">
        <v>79</v>
      </c>
      <c r="B9" s="24" t="s">
        <v>61</v>
      </c>
      <c r="C9" s="9" t="s">
        <v>20</v>
      </c>
      <c r="D9" s="31" t="s">
        <v>80</v>
      </c>
      <c r="E9" s="9" t="s">
        <v>71</v>
      </c>
      <c r="F9" s="24" t="s">
        <v>64</v>
      </c>
      <c r="G9" s="9" t="s">
        <v>65</v>
      </c>
      <c r="H9" s="9" t="s">
        <v>66</v>
      </c>
      <c r="I9" s="26" t="n">
        <v>46330</v>
      </c>
      <c r="J9" s="26" t="n">
        <v>46332</v>
      </c>
      <c r="K9" s="26"/>
      <c r="L9" s="24"/>
      <c r="M9" s="24" t="s">
        <v>67</v>
      </c>
      <c r="N9" s="14"/>
      <c r="O9" s="14"/>
      <c r="P9" s="27" t="str">
        <f aca="false">IF(OR(N9="",O9=""),"",O9-N9)</f>
        <v/>
      </c>
      <c r="Q9" s="28" t="n">
        <f aca="false">IF(A9="","",COUNTIF($B$5:$B$500,A9))</f>
        <v>0</v>
      </c>
      <c r="R9" s="29" t="n">
        <f aca="false">IF(A9="","",IF(Q9&gt;0,COUNTIFS($B$5:$B$500,A9,$E$5:$E$500,"Done")/Q9,IF(E9="Done",1,0)))</f>
        <v>0</v>
      </c>
      <c r="S9" s="30" t="str">
        <f aca="true">IF(OR(A9="",E9="Done",J9=""),"",IF(J9&lt;TODAY(),"OVERDUE",IF(J9-TODAY()&lt;=7,"Due this week","")))</f>
        <v/>
      </c>
      <c r="T9" s="25" t="s">
        <v>81</v>
      </c>
    </row>
    <row r="10" customFormat="false" ht="15" hidden="false" customHeight="false" outlineLevel="0" collapsed="false">
      <c r="A10" s="24" t="s">
        <v>82</v>
      </c>
      <c r="B10" s="24"/>
      <c r="C10" s="9" t="s">
        <v>20</v>
      </c>
      <c r="D10" s="25" t="s">
        <v>83</v>
      </c>
      <c r="E10" s="9" t="s">
        <v>71</v>
      </c>
      <c r="F10" s="24" t="s">
        <v>64</v>
      </c>
      <c r="G10" s="9" t="s">
        <v>65</v>
      </c>
      <c r="H10" s="9" t="s">
        <v>66</v>
      </c>
      <c r="I10" s="26" t="n">
        <v>46330</v>
      </c>
      <c r="J10" s="26" t="n">
        <v>46339</v>
      </c>
      <c r="K10" s="26"/>
      <c r="L10" s="24"/>
      <c r="M10" s="24" t="s">
        <v>84</v>
      </c>
      <c r="N10" s="14"/>
      <c r="O10" s="14"/>
      <c r="P10" s="27" t="str">
        <f aca="false">IF(OR(N10="",O10=""),"",O10-N10)</f>
        <v/>
      </c>
      <c r="Q10" s="28" t="n">
        <f aca="false">IF(A10="","",COUNTIF($B$5:$B$500,A10))</f>
        <v>2</v>
      </c>
      <c r="R10" s="29" t="n">
        <f aca="false">IF(A10="","",IF(Q10&gt;0,COUNTIFS($B$5:$B$500,A10,$E$5:$E$500,"Done")/Q10,IF(E10="Done",1,0)))</f>
        <v>0</v>
      </c>
      <c r="S10" s="30" t="str">
        <f aca="true">IF(OR(A10="",E10="Done",J10=""),"",IF(J10&lt;TODAY(),"OVERDUE",IF(J10-TODAY()&lt;=7,"Due this week","")))</f>
        <v/>
      </c>
      <c r="T10" s="25"/>
    </row>
    <row r="11" customFormat="false" ht="23.85" hidden="false" customHeight="false" outlineLevel="0" collapsed="false">
      <c r="A11" s="24" t="s">
        <v>85</v>
      </c>
      <c r="B11" s="24" t="s">
        <v>82</v>
      </c>
      <c r="C11" s="9" t="s">
        <v>20</v>
      </c>
      <c r="D11" s="31" t="s">
        <v>86</v>
      </c>
      <c r="E11" s="9" t="s">
        <v>71</v>
      </c>
      <c r="F11" s="24" t="s">
        <v>64</v>
      </c>
      <c r="G11" s="9" t="s">
        <v>87</v>
      </c>
      <c r="H11" s="9" t="s">
        <v>88</v>
      </c>
      <c r="I11" s="26" t="n">
        <v>46335</v>
      </c>
      <c r="J11" s="26" t="n">
        <v>46339</v>
      </c>
      <c r="K11" s="26"/>
      <c r="L11" s="24" t="s">
        <v>79</v>
      </c>
      <c r="M11" s="24" t="s">
        <v>89</v>
      </c>
      <c r="N11" s="14"/>
      <c r="O11" s="14"/>
      <c r="P11" s="27" t="str">
        <f aca="false">IF(OR(N11="",O11=""),"",O11-N11)</f>
        <v/>
      </c>
      <c r="Q11" s="28" t="n">
        <f aca="false">IF(A11="","",COUNTIF($B$5:$B$500,A11))</f>
        <v>0</v>
      </c>
      <c r="R11" s="29" t="n">
        <f aca="false">IF(A11="","",IF(Q11&gt;0,COUNTIFS($B$5:$B$500,A11,$E$5:$E$500,"Done")/Q11,IF(E11="Done",1,0)))</f>
        <v>0</v>
      </c>
      <c r="S11" s="30" t="str">
        <f aca="true">IF(OR(A11="",E11="Done",J11=""),"",IF(J11&lt;TODAY(),"OVERDUE",IF(J11-TODAY()&lt;=7,"Due this week","")))</f>
        <v/>
      </c>
      <c r="T11" s="25" t="s">
        <v>90</v>
      </c>
    </row>
    <row r="12" customFormat="false" ht="35.05" hidden="false" customHeight="false" outlineLevel="0" collapsed="false">
      <c r="A12" s="24" t="s">
        <v>91</v>
      </c>
      <c r="B12" s="24" t="s">
        <v>82</v>
      </c>
      <c r="C12" s="9" t="s">
        <v>20</v>
      </c>
      <c r="D12" s="31" t="s">
        <v>92</v>
      </c>
      <c r="E12" s="9" t="s">
        <v>71</v>
      </c>
      <c r="F12" s="24" t="s">
        <v>77</v>
      </c>
      <c r="G12" s="9" t="s">
        <v>87</v>
      </c>
      <c r="H12" s="9" t="s">
        <v>66</v>
      </c>
      <c r="I12" s="26" t="n">
        <v>46335</v>
      </c>
      <c r="J12" s="26" t="n">
        <v>46346</v>
      </c>
      <c r="K12" s="26"/>
      <c r="L12" s="24"/>
      <c r="M12" s="24" t="s">
        <v>84</v>
      </c>
      <c r="N12" s="14"/>
      <c r="O12" s="14"/>
      <c r="P12" s="27" t="str">
        <f aca="false">IF(OR(N12="",O12=""),"",O12-N12)</f>
        <v/>
      </c>
      <c r="Q12" s="28" t="n">
        <f aca="false">IF(A12="","",COUNTIF($B$5:$B$500,A12))</f>
        <v>0</v>
      </c>
      <c r="R12" s="29" t="n">
        <f aca="false">IF(A12="","",IF(Q12&gt;0,COUNTIFS($B$5:$B$500,A12,$E$5:$E$500,"Done")/Q12,IF(E12="Done",1,0)))</f>
        <v>0</v>
      </c>
      <c r="S12" s="30" t="str">
        <f aca="true">IF(OR(A12="",E12="Done",J12=""),"",IF(J12&lt;TODAY(),"OVERDUE",IF(J12-TODAY()&lt;=7,"Due this week","")))</f>
        <v/>
      </c>
      <c r="T12" s="25"/>
    </row>
    <row r="13" customFormat="false" ht="15" hidden="false" customHeight="false" outlineLevel="0" collapsed="false">
      <c r="A13" s="24" t="s">
        <v>93</v>
      </c>
      <c r="B13" s="24"/>
      <c r="C13" s="9" t="s">
        <v>21</v>
      </c>
      <c r="D13" s="25" t="s">
        <v>94</v>
      </c>
      <c r="E13" s="9" t="s">
        <v>63</v>
      </c>
      <c r="F13" s="24" t="s">
        <v>64</v>
      </c>
      <c r="G13" s="9" t="s">
        <v>65</v>
      </c>
      <c r="H13" s="9" t="s">
        <v>95</v>
      </c>
      <c r="I13" s="26" t="n">
        <v>46330</v>
      </c>
      <c r="J13" s="26" t="n">
        <v>46332</v>
      </c>
      <c r="K13" s="26"/>
      <c r="L13" s="24" t="s">
        <v>61</v>
      </c>
      <c r="M13" s="24" t="s">
        <v>67</v>
      </c>
      <c r="N13" s="14"/>
      <c r="O13" s="14"/>
      <c r="P13" s="27" t="str">
        <f aca="false">IF(OR(N13="",O13=""),"",O13-N13)</f>
        <v/>
      </c>
      <c r="Q13" s="28" t="n">
        <f aca="false">IF(A13="","",COUNTIF($B$5:$B$500,A13))</f>
        <v>3</v>
      </c>
      <c r="R13" s="29" t="n">
        <f aca="false">IF(A13="","",IF(Q13&gt;0,COUNTIFS($B$5:$B$500,A13,$E$5:$E$500,"Done")/Q13,IF(E13="Done",1,0)))</f>
        <v>0</v>
      </c>
      <c r="S13" s="30" t="str">
        <f aca="true">IF(OR(A13="",E13="Done",J13=""),"",IF(J13&lt;TODAY(),"OVERDUE",IF(J13-TODAY()&lt;=7,"Due this week","")))</f>
        <v/>
      </c>
      <c r="T13" s="25"/>
    </row>
    <row r="14" customFormat="false" ht="15" hidden="false" customHeight="false" outlineLevel="0" collapsed="false">
      <c r="A14" s="24" t="s">
        <v>96</v>
      </c>
      <c r="B14" s="24" t="s">
        <v>93</v>
      </c>
      <c r="C14" s="9" t="s">
        <v>21</v>
      </c>
      <c r="D14" s="31" t="s">
        <v>97</v>
      </c>
      <c r="E14" s="9" t="s">
        <v>71</v>
      </c>
      <c r="F14" s="24" t="s">
        <v>64</v>
      </c>
      <c r="G14" s="9" t="s">
        <v>65</v>
      </c>
      <c r="H14" s="9" t="s">
        <v>66</v>
      </c>
      <c r="I14" s="26" t="n">
        <v>46330</v>
      </c>
      <c r="J14" s="26" t="n">
        <v>46332</v>
      </c>
      <c r="K14" s="26"/>
      <c r="L14" s="24"/>
      <c r="M14" s="24" t="s">
        <v>67</v>
      </c>
      <c r="N14" s="14"/>
      <c r="O14" s="14"/>
      <c r="P14" s="27" t="str">
        <f aca="false">IF(OR(N14="",O14=""),"",O14-N14)</f>
        <v/>
      </c>
      <c r="Q14" s="28" t="n">
        <f aca="false">IF(A14="","",COUNTIF($B$5:$B$500,A14))</f>
        <v>0</v>
      </c>
      <c r="R14" s="29" t="n">
        <f aca="false">IF(A14="","",IF(Q14&gt;0,COUNTIFS($B$5:$B$500,A14,$E$5:$E$500,"Done")/Q14,IF(E14="Done",1,0)))</f>
        <v>0</v>
      </c>
      <c r="S14" s="30" t="str">
        <f aca="true">IF(OR(A14="",E14="Done",J14=""),"",IF(J14&lt;TODAY(),"OVERDUE",IF(J14-TODAY()&lt;=7,"Due this week","")))</f>
        <v/>
      </c>
      <c r="T14" s="25" t="s">
        <v>98</v>
      </c>
    </row>
    <row r="15" customFormat="false" ht="23.85" hidden="false" customHeight="false" outlineLevel="0" collapsed="false">
      <c r="A15" s="24" t="s">
        <v>99</v>
      </c>
      <c r="B15" s="24" t="s">
        <v>93</v>
      </c>
      <c r="C15" s="9" t="s">
        <v>21</v>
      </c>
      <c r="D15" s="31" t="s">
        <v>100</v>
      </c>
      <c r="E15" s="9" t="s">
        <v>71</v>
      </c>
      <c r="F15" s="24" t="s">
        <v>64</v>
      </c>
      <c r="G15" s="9" t="s">
        <v>65</v>
      </c>
      <c r="H15" s="9" t="s">
        <v>95</v>
      </c>
      <c r="I15" s="26" t="n">
        <v>46330</v>
      </c>
      <c r="J15" s="26" t="n">
        <v>46332</v>
      </c>
      <c r="K15" s="26"/>
      <c r="L15" s="24"/>
      <c r="M15" s="24" t="s">
        <v>67</v>
      </c>
      <c r="N15" s="14"/>
      <c r="O15" s="14"/>
      <c r="P15" s="27" t="str">
        <f aca="false">IF(OR(N15="",O15=""),"",O15-N15)</f>
        <v/>
      </c>
      <c r="Q15" s="28" t="n">
        <f aca="false">IF(A15="","",COUNTIF($B$5:$B$500,A15))</f>
        <v>0</v>
      </c>
      <c r="R15" s="29" t="n">
        <f aca="false">IF(A15="","",IF(Q15&gt;0,COUNTIFS($B$5:$B$500,A15,$E$5:$E$500,"Done")/Q15,IF(E15="Done",1,0)))</f>
        <v>0</v>
      </c>
      <c r="S15" s="30" t="str">
        <f aca="true">IF(OR(A15="",E15="Done",J15=""),"",IF(J15&lt;TODAY(),"OVERDUE",IF(J15-TODAY()&lt;=7,"Due this week","")))</f>
        <v/>
      </c>
      <c r="T15" s="25" t="s">
        <v>101</v>
      </c>
    </row>
    <row r="16" customFormat="false" ht="23.85" hidden="false" customHeight="false" outlineLevel="0" collapsed="false">
      <c r="A16" s="24" t="s">
        <v>102</v>
      </c>
      <c r="B16" s="24" t="s">
        <v>93</v>
      </c>
      <c r="C16" s="9" t="s">
        <v>21</v>
      </c>
      <c r="D16" s="31" t="s">
        <v>103</v>
      </c>
      <c r="E16" s="9" t="s">
        <v>71</v>
      </c>
      <c r="F16" s="24" t="s">
        <v>64</v>
      </c>
      <c r="G16" s="9" t="s">
        <v>65</v>
      </c>
      <c r="H16" s="9" t="s">
        <v>95</v>
      </c>
      <c r="I16" s="26" t="n">
        <v>46330</v>
      </c>
      <c r="J16" s="26" t="n">
        <v>46332</v>
      </c>
      <c r="K16" s="26"/>
      <c r="L16" s="24"/>
      <c r="M16" s="24" t="s">
        <v>67</v>
      </c>
      <c r="N16" s="14"/>
      <c r="O16" s="14"/>
      <c r="P16" s="27" t="str">
        <f aca="false">IF(OR(N16="",O16=""),"",O16-N16)</f>
        <v/>
      </c>
      <c r="Q16" s="28" t="n">
        <f aca="false">IF(A16="","",COUNTIF($B$5:$B$500,A16))</f>
        <v>0</v>
      </c>
      <c r="R16" s="29" t="n">
        <f aca="false">IF(A16="","",IF(Q16&gt;0,COUNTIFS($B$5:$B$500,A16,$E$5:$E$500,"Done")/Q16,IF(E16="Done",1,0)))</f>
        <v>0</v>
      </c>
      <c r="S16" s="30" t="str">
        <f aca="true">IF(OR(A16="",E16="Done",J16=""),"",IF(J16&lt;TODAY(),"OVERDUE",IF(J16-TODAY()&lt;=7,"Due this week","")))</f>
        <v/>
      </c>
      <c r="T16" s="25"/>
    </row>
    <row r="17" customFormat="false" ht="15" hidden="false" customHeight="false" outlineLevel="0" collapsed="false">
      <c r="A17" s="24" t="s">
        <v>104</v>
      </c>
      <c r="B17" s="24"/>
      <c r="C17" s="9" t="s">
        <v>21</v>
      </c>
      <c r="D17" s="25" t="s">
        <v>105</v>
      </c>
      <c r="E17" s="9" t="s">
        <v>71</v>
      </c>
      <c r="F17" s="24" t="s">
        <v>64</v>
      </c>
      <c r="G17" s="9" t="s">
        <v>65</v>
      </c>
      <c r="H17" s="9" t="s">
        <v>95</v>
      </c>
      <c r="I17" s="26" t="n">
        <v>46335</v>
      </c>
      <c r="J17" s="26" t="n">
        <v>46339</v>
      </c>
      <c r="K17" s="26"/>
      <c r="L17" s="24" t="s">
        <v>93</v>
      </c>
      <c r="M17" s="24" t="s">
        <v>67</v>
      </c>
      <c r="N17" s="14"/>
      <c r="O17" s="14"/>
      <c r="P17" s="27" t="str">
        <f aca="false">IF(OR(N17="",O17=""),"",O17-N17)</f>
        <v/>
      </c>
      <c r="Q17" s="28" t="n">
        <f aca="false">IF(A17="","",COUNTIF($B$5:$B$500,A17))</f>
        <v>4</v>
      </c>
      <c r="R17" s="29" t="n">
        <f aca="false">IF(A17="","",IF(Q17&gt;0,COUNTIFS($B$5:$B$500,A17,$E$5:$E$500,"Done")/Q17,IF(E17="Done",1,0)))</f>
        <v>0</v>
      </c>
      <c r="S17" s="30" t="str">
        <f aca="true">IF(OR(A17="",E17="Done",J17=""),"",IF(J17&lt;TODAY(),"OVERDUE",IF(J17-TODAY()&lt;=7,"Due this week","")))</f>
        <v/>
      </c>
      <c r="T17" s="25"/>
    </row>
    <row r="18" customFormat="false" ht="15" hidden="false" customHeight="false" outlineLevel="0" collapsed="false">
      <c r="A18" s="24" t="s">
        <v>106</v>
      </c>
      <c r="B18" s="24" t="s">
        <v>104</v>
      </c>
      <c r="C18" s="9" t="s">
        <v>21</v>
      </c>
      <c r="D18" s="31" t="s">
        <v>107</v>
      </c>
      <c r="E18" s="9" t="s">
        <v>71</v>
      </c>
      <c r="F18" s="24" t="s">
        <v>64</v>
      </c>
      <c r="G18" s="9" t="s">
        <v>65</v>
      </c>
      <c r="H18" s="9" t="s">
        <v>95</v>
      </c>
      <c r="I18" s="26" t="n">
        <v>46335</v>
      </c>
      <c r="J18" s="26" t="n">
        <v>46335</v>
      </c>
      <c r="K18" s="26"/>
      <c r="L18" s="24"/>
      <c r="M18" s="24" t="s">
        <v>67</v>
      </c>
      <c r="N18" s="14"/>
      <c r="O18" s="14"/>
      <c r="P18" s="27" t="str">
        <f aca="false">IF(OR(N18="",O18=""),"",O18-N18)</f>
        <v/>
      </c>
      <c r="Q18" s="28" t="n">
        <f aca="false">IF(A18="","",COUNTIF($B$5:$B$500,A18))</f>
        <v>0</v>
      </c>
      <c r="R18" s="29" t="n">
        <f aca="false">IF(A18="","",IF(Q18&gt;0,COUNTIFS($B$5:$B$500,A18,$E$5:$E$500,"Done")/Q18,IF(E18="Done",1,0)))</f>
        <v>0</v>
      </c>
      <c r="S18" s="30" t="str">
        <f aca="true">IF(OR(A18="",E18="Done",J18=""),"",IF(J18&lt;TODAY(),"OVERDUE",IF(J18-TODAY()&lt;=7,"Due this week","")))</f>
        <v/>
      </c>
      <c r="T18" s="25"/>
    </row>
    <row r="19" customFormat="false" ht="15" hidden="false" customHeight="false" outlineLevel="0" collapsed="false">
      <c r="A19" s="24" t="s">
        <v>108</v>
      </c>
      <c r="B19" s="24" t="s">
        <v>104</v>
      </c>
      <c r="C19" s="9" t="s">
        <v>21</v>
      </c>
      <c r="D19" s="31" t="s">
        <v>109</v>
      </c>
      <c r="E19" s="9" t="s">
        <v>71</v>
      </c>
      <c r="F19" s="24" t="s">
        <v>64</v>
      </c>
      <c r="G19" s="9" t="s">
        <v>65</v>
      </c>
      <c r="H19" s="9" t="s">
        <v>95</v>
      </c>
      <c r="I19" s="26" t="n">
        <v>46335</v>
      </c>
      <c r="J19" s="26" t="n">
        <v>46336</v>
      </c>
      <c r="K19" s="26"/>
      <c r="L19" s="24"/>
      <c r="M19" s="24" t="s">
        <v>67</v>
      </c>
      <c r="N19" s="14"/>
      <c r="O19" s="14"/>
      <c r="P19" s="27" t="str">
        <f aca="false">IF(OR(N19="",O19=""),"",O19-N19)</f>
        <v/>
      </c>
      <c r="Q19" s="28" t="n">
        <f aca="false">IF(A19="","",COUNTIF($B$5:$B$500,A19))</f>
        <v>0</v>
      </c>
      <c r="R19" s="29" t="n">
        <f aca="false">IF(A19="","",IF(Q19&gt;0,COUNTIFS($B$5:$B$500,A19,$E$5:$E$500,"Done")/Q19,IF(E19="Done",1,0)))</f>
        <v>0</v>
      </c>
      <c r="S19" s="30" t="str">
        <f aca="true">IF(OR(A19="",E19="Done",J19=""),"",IF(J19&lt;TODAY(),"OVERDUE",IF(J19-TODAY()&lt;=7,"Due this week","")))</f>
        <v/>
      </c>
      <c r="T19" s="25" t="s">
        <v>110</v>
      </c>
    </row>
    <row r="20" customFormat="false" ht="15" hidden="false" customHeight="false" outlineLevel="0" collapsed="false">
      <c r="A20" s="24" t="s">
        <v>111</v>
      </c>
      <c r="B20" s="24" t="s">
        <v>104</v>
      </c>
      <c r="C20" s="9" t="s">
        <v>21</v>
      </c>
      <c r="D20" s="31" t="s">
        <v>112</v>
      </c>
      <c r="E20" s="9" t="s">
        <v>71</v>
      </c>
      <c r="F20" s="24" t="s">
        <v>64</v>
      </c>
      <c r="G20" s="9" t="s">
        <v>65</v>
      </c>
      <c r="H20" s="9" t="s">
        <v>95</v>
      </c>
      <c r="I20" s="26" t="n">
        <v>46336</v>
      </c>
      <c r="J20" s="26" t="n">
        <v>46338</v>
      </c>
      <c r="K20" s="26"/>
      <c r="L20" s="24"/>
      <c r="M20" s="24" t="s">
        <v>67</v>
      </c>
      <c r="N20" s="14"/>
      <c r="O20" s="14"/>
      <c r="P20" s="27" t="str">
        <f aca="false">IF(OR(N20="",O20=""),"",O20-N20)</f>
        <v/>
      </c>
      <c r="Q20" s="28" t="n">
        <f aca="false">IF(A20="","",COUNTIF($B$5:$B$500,A20))</f>
        <v>0</v>
      </c>
      <c r="R20" s="29" t="n">
        <f aca="false">IF(A20="","",IF(Q20&gt;0,COUNTIFS($B$5:$B$500,A20,$E$5:$E$500,"Done")/Q20,IF(E20="Done",1,0)))</f>
        <v>0</v>
      </c>
      <c r="S20" s="30" t="str">
        <f aca="true">IF(OR(A20="",E20="Done",J20=""),"",IF(J20&lt;TODAY(),"OVERDUE",IF(J20-TODAY()&lt;=7,"Due this week","")))</f>
        <v/>
      </c>
      <c r="T20" s="25"/>
    </row>
    <row r="21" customFormat="false" ht="23.85" hidden="false" customHeight="false" outlineLevel="0" collapsed="false">
      <c r="A21" s="24" t="s">
        <v>113</v>
      </c>
      <c r="B21" s="24" t="s">
        <v>104</v>
      </c>
      <c r="C21" s="9" t="s">
        <v>21</v>
      </c>
      <c r="D21" s="31" t="s">
        <v>114</v>
      </c>
      <c r="E21" s="9" t="s">
        <v>71</v>
      </c>
      <c r="F21" s="24" t="s">
        <v>64</v>
      </c>
      <c r="G21" s="9" t="s">
        <v>65</v>
      </c>
      <c r="H21" s="9" t="s">
        <v>115</v>
      </c>
      <c r="I21" s="26" t="n">
        <v>46338</v>
      </c>
      <c r="J21" s="26" t="n">
        <v>46339</v>
      </c>
      <c r="K21" s="26"/>
      <c r="L21" s="24" t="s">
        <v>99</v>
      </c>
      <c r="M21" s="24" t="s">
        <v>67</v>
      </c>
      <c r="N21" s="14"/>
      <c r="O21" s="14"/>
      <c r="P21" s="27" t="str">
        <f aca="false">IF(OR(N21="",O21=""),"",O21-N21)</f>
        <v/>
      </c>
      <c r="Q21" s="28" t="n">
        <f aca="false">IF(A21="","",COUNTIF($B$5:$B$500,A21))</f>
        <v>0</v>
      </c>
      <c r="R21" s="29" t="n">
        <f aca="false">IF(A21="","",IF(Q21&gt;0,COUNTIFS($B$5:$B$500,A21,$E$5:$E$500,"Done")/Q21,IF(E21="Done",1,0)))</f>
        <v>0</v>
      </c>
      <c r="S21" s="30" t="str">
        <f aca="true">IF(OR(A21="",E21="Done",J21=""),"",IF(J21&lt;TODAY(),"OVERDUE",IF(J21-TODAY()&lt;=7,"Due this week","")))</f>
        <v/>
      </c>
      <c r="T21" s="25"/>
    </row>
    <row r="22" customFormat="false" ht="15" hidden="false" customHeight="false" outlineLevel="0" collapsed="false">
      <c r="A22" s="24" t="s">
        <v>116</v>
      </c>
      <c r="B22" s="24"/>
      <c r="C22" s="9" t="s">
        <v>21</v>
      </c>
      <c r="D22" s="25" t="s">
        <v>117</v>
      </c>
      <c r="E22" s="9" t="s">
        <v>71</v>
      </c>
      <c r="F22" s="24" t="s">
        <v>64</v>
      </c>
      <c r="G22" s="9" t="s">
        <v>65</v>
      </c>
      <c r="H22" s="9" t="s">
        <v>95</v>
      </c>
      <c r="I22" s="26" t="n">
        <v>46335</v>
      </c>
      <c r="J22" s="26" t="n">
        <v>46339</v>
      </c>
      <c r="K22" s="26"/>
      <c r="L22" s="24" t="s">
        <v>93</v>
      </c>
      <c r="M22" s="24" t="s">
        <v>67</v>
      </c>
      <c r="N22" s="14"/>
      <c r="O22" s="14"/>
      <c r="P22" s="27" t="str">
        <f aca="false">IF(OR(N22="",O22=""),"",O22-N22)</f>
        <v/>
      </c>
      <c r="Q22" s="28" t="n">
        <f aca="false">IF(A22="","",COUNTIF($B$5:$B$500,A22))</f>
        <v>3</v>
      </c>
      <c r="R22" s="29" t="n">
        <f aca="false">IF(A22="","",IF(Q22&gt;0,COUNTIFS($B$5:$B$500,A22,$E$5:$E$500,"Done")/Q22,IF(E22="Done",1,0)))</f>
        <v>0</v>
      </c>
      <c r="S22" s="30" t="str">
        <f aca="true">IF(OR(A22="",E22="Done",J22=""),"",IF(J22&lt;TODAY(),"OVERDUE",IF(J22-TODAY()&lt;=7,"Due this week","")))</f>
        <v/>
      </c>
      <c r="T22" s="25"/>
    </row>
    <row r="23" customFormat="false" ht="15" hidden="false" customHeight="false" outlineLevel="0" collapsed="false">
      <c r="A23" s="24" t="s">
        <v>118</v>
      </c>
      <c r="B23" s="24" t="s">
        <v>116</v>
      </c>
      <c r="C23" s="9" t="s">
        <v>21</v>
      </c>
      <c r="D23" s="31" t="s">
        <v>119</v>
      </c>
      <c r="E23" s="9" t="s">
        <v>71</v>
      </c>
      <c r="F23" s="24" t="s">
        <v>64</v>
      </c>
      <c r="G23" s="9" t="s">
        <v>65</v>
      </c>
      <c r="H23" s="9" t="s">
        <v>95</v>
      </c>
      <c r="I23" s="26" t="n">
        <v>46335</v>
      </c>
      <c r="J23" s="26" t="n">
        <v>46337</v>
      </c>
      <c r="K23" s="26"/>
      <c r="L23" s="24"/>
      <c r="M23" s="24" t="s">
        <v>67</v>
      </c>
      <c r="N23" s="14"/>
      <c r="O23" s="14"/>
      <c r="P23" s="27" t="str">
        <f aca="false">IF(OR(N23="",O23=""),"",O23-N23)</f>
        <v/>
      </c>
      <c r="Q23" s="28" t="n">
        <f aca="false">IF(A23="","",COUNTIF($B$5:$B$500,A23))</f>
        <v>0</v>
      </c>
      <c r="R23" s="29" t="n">
        <f aca="false">IF(A23="","",IF(Q23&gt;0,COUNTIFS($B$5:$B$500,A23,$E$5:$E$500,"Done")/Q23,IF(E23="Done",1,0)))</f>
        <v>0</v>
      </c>
      <c r="S23" s="30" t="str">
        <f aca="true">IF(OR(A23="",E23="Done",J23=""),"",IF(J23&lt;TODAY(),"OVERDUE",IF(J23-TODAY()&lt;=7,"Due this week","")))</f>
        <v/>
      </c>
      <c r="T23" s="25"/>
    </row>
    <row r="24" customFormat="false" ht="15" hidden="false" customHeight="false" outlineLevel="0" collapsed="false">
      <c r="A24" s="24" t="s">
        <v>120</v>
      </c>
      <c r="B24" s="24" t="s">
        <v>116</v>
      </c>
      <c r="C24" s="9" t="s">
        <v>21</v>
      </c>
      <c r="D24" s="31" t="s">
        <v>121</v>
      </c>
      <c r="E24" s="9" t="s">
        <v>71</v>
      </c>
      <c r="F24" s="24" t="s">
        <v>64</v>
      </c>
      <c r="G24" s="9" t="s">
        <v>65</v>
      </c>
      <c r="H24" s="9" t="s">
        <v>95</v>
      </c>
      <c r="I24" s="26" t="n">
        <v>46337</v>
      </c>
      <c r="J24" s="26" t="n">
        <v>46339</v>
      </c>
      <c r="K24" s="26"/>
      <c r="L24" s="24"/>
      <c r="M24" s="24" t="s">
        <v>67</v>
      </c>
      <c r="N24" s="14"/>
      <c r="O24" s="14"/>
      <c r="P24" s="27" t="str">
        <f aca="false">IF(OR(N24="",O24=""),"",O24-N24)</f>
        <v/>
      </c>
      <c r="Q24" s="28" t="n">
        <f aca="false">IF(A24="","",COUNTIF($B$5:$B$500,A24))</f>
        <v>0</v>
      </c>
      <c r="R24" s="29" t="n">
        <f aca="false">IF(A24="","",IF(Q24&gt;0,COUNTIFS($B$5:$B$500,A24,$E$5:$E$500,"Done")/Q24,IF(E24="Done",1,0)))</f>
        <v>0</v>
      </c>
      <c r="S24" s="30" t="str">
        <f aca="true">IF(OR(A24="",E24="Done",J24=""),"",IF(J24&lt;TODAY(),"OVERDUE",IF(J24-TODAY()&lt;=7,"Due this week","")))</f>
        <v/>
      </c>
      <c r="T24" s="25"/>
    </row>
    <row r="25" customFormat="false" ht="15" hidden="false" customHeight="false" outlineLevel="0" collapsed="false">
      <c r="A25" s="24" t="s">
        <v>122</v>
      </c>
      <c r="B25" s="24" t="s">
        <v>116</v>
      </c>
      <c r="C25" s="9" t="s">
        <v>21</v>
      </c>
      <c r="D25" s="31" t="s">
        <v>123</v>
      </c>
      <c r="E25" s="9" t="s">
        <v>71</v>
      </c>
      <c r="F25" s="24" t="s">
        <v>64</v>
      </c>
      <c r="G25" s="9" t="s">
        <v>65</v>
      </c>
      <c r="H25" s="9" t="s">
        <v>115</v>
      </c>
      <c r="I25" s="26" t="n">
        <v>46337</v>
      </c>
      <c r="J25" s="26" t="n">
        <v>46346</v>
      </c>
      <c r="K25" s="26"/>
      <c r="L25" s="24" t="s">
        <v>102</v>
      </c>
      <c r="M25" s="24" t="s">
        <v>67</v>
      </c>
      <c r="N25" s="14"/>
      <c r="O25" s="14"/>
      <c r="P25" s="27" t="str">
        <f aca="false">IF(OR(N25="",O25=""),"",O25-N25)</f>
        <v/>
      </c>
      <c r="Q25" s="28" t="n">
        <f aca="false">IF(A25="","",COUNTIF($B$5:$B$500,A25))</f>
        <v>0</v>
      </c>
      <c r="R25" s="29" t="n">
        <f aca="false">IF(A25="","",IF(Q25&gt;0,COUNTIFS($B$5:$B$500,A25,$E$5:$E$500,"Done")/Q25,IF(E25="Done",1,0)))</f>
        <v>0</v>
      </c>
      <c r="S25" s="30" t="str">
        <f aca="true">IF(OR(A25="",E25="Done",J25=""),"",IF(J25&lt;TODAY(),"OVERDUE",IF(J25-TODAY()&lt;=7,"Due this week","")))</f>
        <v/>
      </c>
      <c r="T25" s="25"/>
    </row>
    <row r="26" customFormat="false" ht="15" hidden="false" customHeight="false" outlineLevel="0" collapsed="false">
      <c r="A26" s="24" t="s">
        <v>124</v>
      </c>
      <c r="B26" s="24"/>
      <c r="C26" s="9" t="s">
        <v>21</v>
      </c>
      <c r="D26" s="25" t="s">
        <v>125</v>
      </c>
      <c r="E26" s="9" t="s">
        <v>71</v>
      </c>
      <c r="F26" s="24" t="s">
        <v>64</v>
      </c>
      <c r="G26" s="9" t="s">
        <v>65</v>
      </c>
      <c r="H26" s="9" t="s">
        <v>95</v>
      </c>
      <c r="I26" s="26" t="n">
        <v>46342</v>
      </c>
      <c r="J26" s="26" t="n">
        <v>46342</v>
      </c>
      <c r="K26" s="26"/>
      <c r="L26" s="24" t="s">
        <v>126</v>
      </c>
      <c r="M26" s="24" t="s">
        <v>67</v>
      </c>
      <c r="N26" s="14"/>
      <c r="O26" s="14"/>
      <c r="P26" s="27" t="str">
        <f aca="false">IF(OR(N26="",O26=""),"",O26-N26)</f>
        <v/>
      </c>
      <c r="Q26" s="28" t="n">
        <f aca="false">IF(A26="","",COUNTIF($B$5:$B$500,A26))</f>
        <v>0</v>
      </c>
      <c r="R26" s="29" t="n">
        <f aca="false">IF(A26="","",IF(Q26&gt;0,COUNTIFS($B$5:$B$500,A26,$E$5:$E$500,"Done")/Q26,IF(E26="Done",1,0)))</f>
        <v>0</v>
      </c>
      <c r="S26" s="30" t="str">
        <f aca="true">IF(OR(A26="",E26="Done",J26=""),"",IF(J26&lt;TODAY(),"OVERDUE",IF(J26-TODAY()&lt;=7,"Due this week","")))</f>
        <v/>
      </c>
      <c r="T26" s="25" t="s">
        <v>127</v>
      </c>
    </row>
    <row r="27" customFormat="false" ht="15" hidden="false" customHeight="false" outlineLevel="0" collapsed="false">
      <c r="A27" s="24" t="s">
        <v>128</v>
      </c>
      <c r="B27" s="24"/>
      <c r="C27" s="9" t="s">
        <v>22</v>
      </c>
      <c r="D27" s="25" t="s">
        <v>129</v>
      </c>
      <c r="E27" s="9" t="s">
        <v>71</v>
      </c>
      <c r="F27" s="24" t="s">
        <v>64</v>
      </c>
      <c r="G27" s="9" t="s">
        <v>87</v>
      </c>
      <c r="H27" s="9" t="s">
        <v>88</v>
      </c>
      <c r="I27" s="26" t="n">
        <v>46331</v>
      </c>
      <c r="J27" s="26" t="n">
        <v>46339</v>
      </c>
      <c r="K27" s="26"/>
      <c r="L27" s="24" t="s">
        <v>79</v>
      </c>
      <c r="M27" s="24" t="s">
        <v>89</v>
      </c>
      <c r="N27" s="14"/>
      <c r="O27" s="14"/>
      <c r="P27" s="27" t="str">
        <f aca="false">IF(OR(N27="",O27=""),"",O27-N27)</f>
        <v/>
      </c>
      <c r="Q27" s="28" t="n">
        <f aca="false">IF(A27="","",COUNTIF($B$5:$B$500,A27))</f>
        <v>3</v>
      </c>
      <c r="R27" s="29" t="n">
        <f aca="false">IF(A27="","",IF(Q27&gt;0,COUNTIFS($B$5:$B$500,A27,$E$5:$E$500,"Done")/Q27,IF(E27="Done",1,0)))</f>
        <v>0</v>
      </c>
      <c r="S27" s="30" t="str">
        <f aca="true">IF(OR(A27="",E27="Done",J27=""),"",IF(J27&lt;TODAY(),"OVERDUE",IF(J27-TODAY()&lt;=7,"Due this week","")))</f>
        <v/>
      </c>
      <c r="T27" s="25"/>
    </row>
    <row r="28" customFormat="false" ht="15" hidden="false" customHeight="false" outlineLevel="0" collapsed="false">
      <c r="A28" s="24" t="s">
        <v>130</v>
      </c>
      <c r="B28" s="24" t="s">
        <v>128</v>
      </c>
      <c r="C28" s="9" t="s">
        <v>22</v>
      </c>
      <c r="D28" s="31" t="s">
        <v>131</v>
      </c>
      <c r="E28" s="9" t="s">
        <v>71</v>
      </c>
      <c r="F28" s="24" t="s">
        <v>64</v>
      </c>
      <c r="G28" s="9" t="s">
        <v>87</v>
      </c>
      <c r="H28" s="9" t="s">
        <v>66</v>
      </c>
      <c r="I28" s="26" t="n">
        <v>46331</v>
      </c>
      <c r="J28" s="26" t="n">
        <v>46336</v>
      </c>
      <c r="K28" s="26"/>
      <c r="L28" s="24"/>
      <c r="M28" s="24" t="s">
        <v>67</v>
      </c>
      <c r="N28" s="14"/>
      <c r="O28" s="14"/>
      <c r="P28" s="27" t="str">
        <f aca="false">IF(OR(N28="",O28=""),"",O28-N28)</f>
        <v/>
      </c>
      <c r="Q28" s="28" t="n">
        <f aca="false">IF(A28="","",COUNTIF($B$5:$B$500,A28))</f>
        <v>0</v>
      </c>
      <c r="R28" s="29" t="n">
        <f aca="false">IF(A28="","",IF(Q28&gt;0,COUNTIFS($B$5:$B$500,A28,$E$5:$E$500,"Done")/Q28,IF(E28="Done",1,0)))</f>
        <v>0</v>
      </c>
      <c r="S28" s="30" t="str">
        <f aca="true">IF(OR(A28="",E28="Done",J28=""),"",IF(J28&lt;TODAY(),"OVERDUE",IF(J28-TODAY()&lt;=7,"Due this week","")))</f>
        <v/>
      </c>
      <c r="T28" s="25"/>
    </row>
    <row r="29" customFormat="false" ht="23.85" hidden="false" customHeight="false" outlineLevel="0" collapsed="false">
      <c r="A29" s="24" t="s">
        <v>132</v>
      </c>
      <c r="B29" s="24" t="s">
        <v>128</v>
      </c>
      <c r="C29" s="9" t="s">
        <v>22</v>
      </c>
      <c r="D29" s="31" t="s">
        <v>133</v>
      </c>
      <c r="E29" s="9" t="s">
        <v>71</v>
      </c>
      <c r="F29" s="24" t="s">
        <v>64</v>
      </c>
      <c r="G29" s="9" t="s">
        <v>87</v>
      </c>
      <c r="H29" s="9" t="s">
        <v>88</v>
      </c>
      <c r="I29" s="26" t="n">
        <v>46335</v>
      </c>
      <c r="J29" s="26" t="n">
        <v>46339</v>
      </c>
      <c r="K29" s="26"/>
      <c r="L29" s="24"/>
      <c r="M29" s="24" t="s">
        <v>67</v>
      </c>
      <c r="N29" s="14"/>
      <c r="O29" s="14"/>
      <c r="P29" s="27" t="str">
        <f aca="false">IF(OR(N29="",O29=""),"",O29-N29)</f>
        <v/>
      </c>
      <c r="Q29" s="28" t="n">
        <f aca="false">IF(A29="","",COUNTIF($B$5:$B$500,A29))</f>
        <v>0</v>
      </c>
      <c r="R29" s="29" t="n">
        <f aca="false">IF(A29="","",IF(Q29&gt;0,COUNTIFS($B$5:$B$500,A29,$E$5:$E$500,"Done")/Q29,IF(E29="Done",1,0)))</f>
        <v>0</v>
      </c>
      <c r="S29" s="30" t="str">
        <f aca="true">IF(OR(A29="",E29="Done",J29=""),"",IF(J29&lt;TODAY(),"OVERDUE",IF(J29-TODAY()&lt;=7,"Due this week","")))</f>
        <v/>
      </c>
      <c r="T29" s="25" t="s">
        <v>134</v>
      </c>
    </row>
    <row r="30" customFormat="false" ht="23.85" hidden="false" customHeight="false" outlineLevel="0" collapsed="false">
      <c r="A30" s="24" t="s">
        <v>135</v>
      </c>
      <c r="B30" s="24" t="s">
        <v>128</v>
      </c>
      <c r="C30" s="9" t="s">
        <v>22</v>
      </c>
      <c r="D30" s="31" t="s">
        <v>136</v>
      </c>
      <c r="E30" s="9" t="s">
        <v>71</v>
      </c>
      <c r="F30" s="24" t="s">
        <v>64</v>
      </c>
      <c r="G30" s="9" t="s">
        <v>87</v>
      </c>
      <c r="H30" s="9" t="s">
        <v>66</v>
      </c>
      <c r="I30" s="26" t="n">
        <v>46331</v>
      </c>
      <c r="J30" s="26" t="n">
        <v>46339</v>
      </c>
      <c r="K30" s="26"/>
      <c r="L30" s="24" t="s">
        <v>137</v>
      </c>
      <c r="M30" s="24" t="s">
        <v>67</v>
      </c>
      <c r="N30" s="14"/>
      <c r="O30" s="14"/>
      <c r="P30" s="27" t="str">
        <f aca="false">IF(OR(N30="",O30=""),"",O30-N30)</f>
        <v/>
      </c>
      <c r="Q30" s="28" t="n">
        <f aca="false">IF(A30="","",COUNTIF($B$5:$B$500,A30))</f>
        <v>0</v>
      </c>
      <c r="R30" s="29" t="n">
        <f aca="false">IF(A30="","",IF(Q30&gt;0,COUNTIFS($B$5:$B$500,A30,$E$5:$E$500,"Done")/Q30,IF(E30="Done",1,0)))</f>
        <v>0</v>
      </c>
      <c r="S30" s="30" t="str">
        <f aca="true">IF(OR(A30="",E30="Done",J30=""),"",IF(J30&lt;TODAY(),"OVERDUE",IF(J30-TODAY()&lt;=7,"Due this week","")))</f>
        <v/>
      </c>
      <c r="T30" s="25"/>
    </row>
    <row r="31" customFormat="false" ht="15" hidden="false" customHeight="false" outlineLevel="0" collapsed="false">
      <c r="A31" s="24" t="s">
        <v>138</v>
      </c>
      <c r="B31" s="24"/>
      <c r="C31" s="9" t="s">
        <v>22</v>
      </c>
      <c r="D31" s="25" t="s">
        <v>139</v>
      </c>
      <c r="E31" s="9" t="s">
        <v>71</v>
      </c>
      <c r="F31" s="24" t="s">
        <v>64</v>
      </c>
      <c r="G31" s="9" t="s">
        <v>87</v>
      </c>
      <c r="H31" s="9" t="s">
        <v>88</v>
      </c>
      <c r="I31" s="26" t="n">
        <v>46343</v>
      </c>
      <c r="J31" s="26" t="n">
        <v>46346</v>
      </c>
      <c r="K31" s="26"/>
      <c r="L31" s="24" t="s">
        <v>124</v>
      </c>
      <c r="M31" s="24" t="s">
        <v>89</v>
      </c>
      <c r="N31" s="14"/>
      <c r="O31" s="14"/>
      <c r="P31" s="27" t="str">
        <f aca="false">IF(OR(N31="",O31=""),"",O31-N31)</f>
        <v/>
      </c>
      <c r="Q31" s="28" t="n">
        <f aca="false">IF(A31="","",COUNTIF($B$5:$B$500,A31))</f>
        <v>3</v>
      </c>
      <c r="R31" s="29" t="n">
        <f aca="false">IF(A31="","",IF(Q31&gt;0,COUNTIFS($B$5:$B$500,A31,$E$5:$E$500,"Done")/Q31,IF(E31="Done",1,0)))</f>
        <v>0</v>
      </c>
      <c r="S31" s="30" t="str">
        <f aca="true">IF(OR(A31="",E31="Done",J31=""),"",IF(J31&lt;TODAY(),"OVERDUE",IF(J31-TODAY()&lt;=7,"Due this week","")))</f>
        <v/>
      </c>
      <c r="T31" s="25" t="s">
        <v>140</v>
      </c>
    </row>
    <row r="32" customFormat="false" ht="15" hidden="false" customHeight="false" outlineLevel="0" collapsed="false">
      <c r="A32" s="24" t="s">
        <v>141</v>
      </c>
      <c r="B32" s="24" t="s">
        <v>138</v>
      </c>
      <c r="C32" s="9" t="s">
        <v>22</v>
      </c>
      <c r="D32" s="31" t="s">
        <v>142</v>
      </c>
      <c r="E32" s="9" t="s">
        <v>71</v>
      </c>
      <c r="F32" s="24" t="s">
        <v>64</v>
      </c>
      <c r="G32" s="9" t="s">
        <v>87</v>
      </c>
      <c r="H32" s="9" t="s">
        <v>88</v>
      </c>
      <c r="I32" s="26" t="n">
        <v>46343</v>
      </c>
      <c r="J32" s="26" t="n">
        <v>46345</v>
      </c>
      <c r="K32" s="26"/>
      <c r="L32" s="24"/>
      <c r="M32" s="24" t="s">
        <v>89</v>
      </c>
      <c r="N32" s="14"/>
      <c r="O32" s="14"/>
      <c r="P32" s="27" t="str">
        <f aca="false">IF(OR(N32="",O32=""),"",O32-N32)</f>
        <v/>
      </c>
      <c r="Q32" s="28" t="n">
        <f aca="false">IF(A32="","",COUNTIF($B$5:$B$500,A32))</f>
        <v>0</v>
      </c>
      <c r="R32" s="29" t="n">
        <f aca="false">IF(A32="","",IF(Q32&gt;0,COUNTIFS($B$5:$B$500,A32,$E$5:$E$500,"Done")/Q32,IF(E32="Done",1,0)))</f>
        <v>0</v>
      </c>
      <c r="S32" s="30" t="str">
        <f aca="true">IF(OR(A32="",E32="Done",J32=""),"",IF(J32&lt;TODAY(),"OVERDUE",IF(J32-TODAY()&lt;=7,"Due this week","")))</f>
        <v/>
      </c>
      <c r="T32" s="25" t="s">
        <v>143</v>
      </c>
    </row>
    <row r="33" customFormat="false" ht="15" hidden="false" customHeight="false" outlineLevel="0" collapsed="false">
      <c r="A33" s="24" t="s">
        <v>144</v>
      </c>
      <c r="B33" s="24" t="s">
        <v>138</v>
      </c>
      <c r="C33" s="9" t="s">
        <v>22</v>
      </c>
      <c r="D33" s="31" t="s">
        <v>145</v>
      </c>
      <c r="E33" s="9" t="s">
        <v>71</v>
      </c>
      <c r="F33" s="24" t="s">
        <v>64</v>
      </c>
      <c r="G33" s="9" t="s">
        <v>87</v>
      </c>
      <c r="H33" s="9" t="s">
        <v>88</v>
      </c>
      <c r="I33" s="26" t="n">
        <v>46344</v>
      </c>
      <c r="J33" s="26" t="n">
        <v>46345</v>
      </c>
      <c r="K33" s="26"/>
      <c r="L33" s="24"/>
      <c r="M33" s="24" t="s">
        <v>89</v>
      </c>
      <c r="N33" s="14"/>
      <c r="O33" s="14"/>
      <c r="P33" s="27" t="str">
        <f aca="false">IF(OR(N33="",O33=""),"",O33-N33)</f>
        <v/>
      </c>
      <c r="Q33" s="28" t="n">
        <f aca="false">IF(A33="","",COUNTIF($B$5:$B$500,A33))</f>
        <v>0</v>
      </c>
      <c r="R33" s="29" t="n">
        <f aca="false">IF(A33="","",IF(Q33&gt;0,COUNTIFS($B$5:$B$500,A33,$E$5:$E$500,"Done")/Q33,IF(E33="Done",1,0)))</f>
        <v>0</v>
      </c>
      <c r="S33" s="30" t="str">
        <f aca="true">IF(OR(A33="",E33="Done",J33=""),"",IF(J33&lt;TODAY(),"OVERDUE",IF(J33-TODAY()&lt;=7,"Due this week","")))</f>
        <v/>
      </c>
      <c r="T33" s="25"/>
    </row>
    <row r="34" customFormat="false" ht="15" hidden="false" customHeight="false" outlineLevel="0" collapsed="false">
      <c r="A34" s="24" t="s">
        <v>146</v>
      </c>
      <c r="B34" s="24" t="s">
        <v>138</v>
      </c>
      <c r="C34" s="9" t="s">
        <v>22</v>
      </c>
      <c r="D34" s="31" t="s">
        <v>147</v>
      </c>
      <c r="E34" s="9" t="s">
        <v>71</v>
      </c>
      <c r="F34" s="24" t="s">
        <v>64</v>
      </c>
      <c r="G34" s="9" t="s">
        <v>87</v>
      </c>
      <c r="H34" s="9" t="s">
        <v>88</v>
      </c>
      <c r="I34" s="26" t="n">
        <v>46349</v>
      </c>
      <c r="J34" s="26" t="n">
        <v>46349</v>
      </c>
      <c r="K34" s="26"/>
      <c r="L34" s="24" t="s">
        <v>148</v>
      </c>
      <c r="M34" s="24" t="s">
        <v>89</v>
      </c>
      <c r="N34" s="14"/>
      <c r="O34" s="14"/>
      <c r="P34" s="27" t="str">
        <f aca="false">IF(OR(N34="",O34=""),"",O34-N34)</f>
        <v/>
      </c>
      <c r="Q34" s="28" t="n">
        <f aca="false">IF(A34="","",COUNTIF($B$5:$B$500,A34))</f>
        <v>0</v>
      </c>
      <c r="R34" s="29" t="n">
        <f aca="false">IF(A34="","",IF(Q34&gt;0,COUNTIFS($B$5:$B$500,A34,$E$5:$E$500,"Done")/Q34,IF(E34="Done",1,0)))</f>
        <v>0</v>
      </c>
      <c r="S34" s="30" t="str">
        <f aca="true">IF(OR(A34="",E34="Done",J34=""),"",IF(J34&lt;TODAY(),"OVERDUE",IF(J34-TODAY()&lt;=7,"Due this week","")))</f>
        <v/>
      </c>
      <c r="T34" s="25" t="s">
        <v>149</v>
      </c>
    </row>
    <row r="35" customFormat="false" ht="15" hidden="false" customHeight="false" outlineLevel="0" collapsed="false">
      <c r="A35" s="24" t="s">
        <v>150</v>
      </c>
      <c r="B35" s="24"/>
      <c r="C35" s="9" t="s">
        <v>22</v>
      </c>
      <c r="D35" s="25" t="s">
        <v>151</v>
      </c>
      <c r="E35" s="9" t="s">
        <v>71</v>
      </c>
      <c r="F35" s="24" t="s">
        <v>77</v>
      </c>
      <c r="G35" s="9" t="s">
        <v>87</v>
      </c>
      <c r="H35" s="9" t="s">
        <v>88</v>
      </c>
      <c r="I35" s="26" t="n">
        <v>46343</v>
      </c>
      <c r="J35" s="26" t="n">
        <v>46353</v>
      </c>
      <c r="K35" s="26"/>
      <c r="L35" s="24" t="s">
        <v>124</v>
      </c>
      <c r="M35" s="24" t="s">
        <v>89</v>
      </c>
      <c r="N35" s="14"/>
      <c r="O35" s="14"/>
      <c r="P35" s="27" t="str">
        <f aca="false">IF(OR(N35="",O35=""),"",O35-N35)</f>
        <v/>
      </c>
      <c r="Q35" s="28" t="n">
        <f aca="false">IF(A35="","",COUNTIF($B$5:$B$500,A35))</f>
        <v>0</v>
      </c>
      <c r="R35" s="29" t="n">
        <f aca="false">IF(A35="","",IF(Q35&gt;0,COUNTIFS($B$5:$B$500,A35,$E$5:$E$500,"Done")/Q35,IF(E35="Done",1,0)))</f>
        <v>0</v>
      </c>
      <c r="S35" s="30" t="str">
        <f aca="true">IF(OR(A35="",E35="Done",J35=""),"",IF(J35&lt;TODAY(),"OVERDUE",IF(J35-TODAY()&lt;=7,"Due this week","")))</f>
        <v/>
      </c>
      <c r="T35" s="25"/>
    </row>
    <row r="36" customFormat="false" ht="15" hidden="false" customHeight="false" outlineLevel="0" collapsed="false">
      <c r="A36" s="24" t="s">
        <v>152</v>
      </c>
      <c r="B36" s="24"/>
      <c r="C36" s="9" t="s">
        <v>23</v>
      </c>
      <c r="D36" s="25" t="s">
        <v>153</v>
      </c>
      <c r="E36" s="9" t="s">
        <v>71</v>
      </c>
      <c r="F36" s="24" t="s">
        <v>64</v>
      </c>
      <c r="G36" s="9" t="s">
        <v>87</v>
      </c>
      <c r="H36" s="9" t="s">
        <v>154</v>
      </c>
      <c r="I36" s="26" t="n">
        <v>46331</v>
      </c>
      <c r="J36" s="26" t="n">
        <v>46346</v>
      </c>
      <c r="K36" s="26"/>
      <c r="L36" s="24"/>
      <c r="M36" s="24" t="s">
        <v>67</v>
      </c>
      <c r="N36" s="14"/>
      <c r="O36" s="14"/>
      <c r="P36" s="27" t="str">
        <f aca="false">IF(OR(N36="",O36=""),"",O36-N36)</f>
        <v/>
      </c>
      <c r="Q36" s="28" t="n">
        <f aca="false">IF(A36="","",COUNTIF($B$5:$B$500,A36))</f>
        <v>6</v>
      </c>
      <c r="R36" s="29" t="n">
        <f aca="false">IF(A36="","",IF(Q36&gt;0,COUNTIFS($B$5:$B$500,A36,$E$5:$E$500,"Done")/Q36,IF(E36="Done",1,0)))</f>
        <v>0</v>
      </c>
      <c r="S36" s="30" t="str">
        <f aca="true">IF(OR(A36="",E36="Done",J36=""),"",IF(J36&lt;TODAY(),"OVERDUE",IF(J36-TODAY()&lt;=7,"Due this week","")))</f>
        <v/>
      </c>
      <c r="T36" s="25"/>
    </row>
    <row r="37" customFormat="false" ht="15" hidden="false" customHeight="false" outlineLevel="0" collapsed="false">
      <c r="A37" s="24" t="s">
        <v>155</v>
      </c>
      <c r="B37" s="24" t="s">
        <v>152</v>
      </c>
      <c r="C37" s="9" t="s">
        <v>23</v>
      </c>
      <c r="D37" s="31" t="s">
        <v>156</v>
      </c>
      <c r="E37" s="9" t="s">
        <v>71</v>
      </c>
      <c r="F37" s="24" t="s">
        <v>64</v>
      </c>
      <c r="G37" s="9" t="s">
        <v>87</v>
      </c>
      <c r="H37" s="9" t="s">
        <v>66</v>
      </c>
      <c r="I37" s="26" t="n">
        <v>46331</v>
      </c>
      <c r="J37" s="26" t="n">
        <v>46336</v>
      </c>
      <c r="K37" s="26"/>
      <c r="L37" s="24"/>
      <c r="M37" s="24" t="s">
        <v>67</v>
      </c>
      <c r="N37" s="14"/>
      <c r="O37" s="14"/>
      <c r="P37" s="27" t="str">
        <f aca="false">IF(OR(N37="",O37=""),"",O37-N37)</f>
        <v/>
      </c>
      <c r="Q37" s="28" t="n">
        <f aca="false">IF(A37="","",COUNTIF($B$5:$B$500,A37))</f>
        <v>0</v>
      </c>
      <c r="R37" s="29" t="n">
        <f aca="false">IF(A37="","",IF(Q37&gt;0,COUNTIFS($B$5:$B$500,A37,$E$5:$E$500,"Done")/Q37,IF(E37="Done",1,0)))</f>
        <v>0</v>
      </c>
      <c r="S37" s="30" t="str">
        <f aca="true">IF(OR(A37="",E37="Done",J37=""),"",IF(J37&lt;TODAY(),"OVERDUE",IF(J37-TODAY()&lt;=7,"Due this week","")))</f>
        <v/>
      </c>
      <c r="T37" s="25"/>
    </row>
    <row r="38" customFormat="false" ht="15" hidden="false" customHeight="false" outlineLevel="0" collapsed="false">
      <c r="A38" s="24" t="s">
        <v>157</v>
      </c>
      <c r="B38" s="24" t="s">
        <v>152</v>
      </c>
      <c r="C38" s="9" t="s">
        <v>23</v>
      </c>
      <c r="D38" s="31" t="s">
        <v>158</v>
      </c>
      <c r="E38" s="9" t="s">
        <v>71</v>
      </c>
      <c r="F38" s="24" t="s">
        <v>64</v>
      </c>
      <c r="G38" s="9" t="s">
        <v>87</v>
      </c>
      <c r="H38" s="9" t="s">
        <v>66</v>
      </c>
      <c r="I38" s="26" t="n">
        <v>46331</v>
      </c>
      <c r="J38" s="26" t="n">
        <v>46336</v>
      </c>
      <c r="K38" s="26"/>
      <c r="L38" s="24"/>
      <c r="M38" s="24" t="s">
        <v>67</v>
      </c>
      <c r="N38" s="14"/>
      <c r="O38" s="14"/>
      <c r="P38" s="27" t="str">
        <f aca="false">IF(OR(N38="",O38=""),"",O38-N38)</f>
        <v/>
      </c>
      <c r="Q38" s="28" t="n">
        <f aca="false">IF(A38="","",COUNTIF($B$5:$B$500,A38))</f>
        <v>0</v>
      </c>
      <c r="R38" s="29" t="n">
        <f aca="false">IF(A38="","",IF(Q38&gt;0,COUNTIFS($B$5:$B$500,A38,$E$5:$E$500,"Done")/Q38,IF(E38="Done",1,0)))</f>
        <v>0</v>
      </c>
      <c r="S38" s="30" t="str">
        <f aca="true">IF(OR(A38="",E38="Done",J38=""),"",IF(J38&lt;TODAY(),"OVERDUE",IF(J38-TODAY()&lt;=7,"Due this week","")))</f>
        <v/>
      </c>
      <c r="T38" s="25"/>
    </row>
    <row r="39" customFormat="false" ht="15" hidden="false" customHeight="false" outlineLevel="0" collapsed="false">
      <c r="A39" s="24" t="s">
        <v>159</v>
      </c>
      <c r="B39" s="24" t="s">
        <v>152</v>
      </c>
      <c r="C39" s="9" t="s">
        <v>23</v>
      </c>
      <c r="D39" s="31" t="s">
        <v>160</v>
      </c>
      <c r="E39" s="9" t="s">
        <v>71</v>
      </c>
      <c r="F39" s="24" t="s">
        <v>77</v>
      </c>
      <c r="G39" s="9" t="s">
        <v>87</v>
      </c>
      <c r="H39" s="9" t="s">
        <v>66</v>
      </c>
      <c r="I39" s="26" t="n">
        <v>46331</v>
      </c>
      <c r="J39" s="26" t="n">
        <v>46336</v>
      </c>
      <c r="K39" s="26"/>
      <c r="L39" s="24"/>
      <c r="M39" s="24" t="s">
        <v>67</v>
      </c>
      <c r="N39" s="14"/>
      <c r="O39" s="14"/>
      <c r="P39" s="27" t="str">
        <f aca="false">IF(OR(N39="",O39=""),"",O39-N39)</f>
        <v/>
      </c>
      <c r="Q39" s="28" t="n">
        <f aca="false">IF(A39="","",COUNTIF($B$5:$B$500,A39))</f>
        <v>0</v>
      </c>
      <c r="R39" s="29" t="n">
        <f aca="false">IF(A39="","",IF(Q39&gt;0,COUNTIFS($B$5:$B$500,A39,$E$5:$E$500,"Done")/Q39,IF(E39="Done",1,0)))</f>
        <v>0</v>
      </c>
      <c r="S39" s="30" t="str">
        <f aca="true">IF(OR(A39="",E39="Done",J39=""),"",IF(J39&lt;TODAY(),"OVERDUE",IF(J39-TODAY()&lt;=7,"Due this week","")))</f>
        <v/>
      </c>
      <c r="T39" s="25"/>
    </row>
    <row r="40" customFormat="false" ht="15" hidden="false" customHeight="false" outlineLevel="0" collapsed="false">
      <c r="A40" s="24" t="s">
        <v>161</v>
      </c>
      <c r="B40" s="24" t="s">
        <v>152</v>
      </c>
      <c r="C40" s="9" t="s">
        <v>23</v>
      </c>
      <c r="D40" s="31" t="s">
        <v>162</v>
      </c>
      <c r="E40" s="9" t="s">
        <v>71</v>
      </c>
      <c r="F40" s="24" t="s">
        <v>64</v>
      </c>
      <c r="G40" s="9" t="s">
        <v>87</v>
      </c>
      <c r="H40" s="9" t="s">
        <v>154</v>
      </c>
      <c r="I40" s="26" t="n">
        <v>46343</v>
      </c>
      <c r="J40" s="26" t="n">
        <v>46346</v>
      </c>
      <c r="K40" s="26"/>
      <c r="L40" s="24" t="s">
        <v>124</v>
      </c>
      <c r="M40" s="24" t="s">
        <v>67</v>
      </c>
      <c r="N40" s="14"/>
      <c r="O40" s="14"/>
      <c r="P40" s="27" t="str">
        <f aca="false">IF(OR(N40="",O40=""),"",O40-N40)</f>
        <v/>
      </c>
      <c r="Q40" s="28" t="n">
        <f aca="false">IF(A40="","",COUNTIF($B$5:$B$500,A40))</f>
        <v>0</v>
      </c>
      <c r="R40" s="29" t="n">
        <f aca="false">IF(A40="","",IF(Q40&gt;0,COUNTIFS($B$5:$B$500,A40,$E$5:$E$500,"Done")/Q40,IF(E40="Done",1,0)))</f>
        <v>0</v>
      </c>
      <c r="S40" s="30" t="str">
        <f aca="true">IF(OR(A40="",E40="Done",J40=""),"",IF(J40&lt;TODAY(),"OVERDUE",IF(J40-TODAY()&lt;=7,"Due this week","")))</f>
        <v/>
      </c>
      <c r="T40" s="25" t="s">
        <v>163</v>
      </c>
    </row>
    <row r="41" customFormat="false" ht="15" hidden="false" customHeight="false" outlineLevel="0" collapsed="false">
      <c r="A41" s="24" t="s">
        <v>164</v>
      </c>
      <c r="B41" s="24" t="s">
        <v>152</v>
      </c>
      <c r="C41" s="9" t="s">
        <v>23</v>
      </c>
      <c r="D41" s="31" t="s">
        <v>165</v>
      </c>
      <c r="E41" s="9" t="s">
        <v>71</v>
      </c>
      <c r="F41" s="24" t="s">
        <v>166</v>
      </c>
      <c r="G41" s="9" t="s">
        <v>87</v>
      </c>
      <c r="H41" s="9" t="s">
        <v>154</v>
      </c>
      <c r="I41" s="26" t="n">
        <v>46343</v>
      </c>
      <c r="J41" s="26" t="n">
        <v>46346</v>
      </c>
      <c r="K41" s="26"/>
      <c r="L41" s="24"/>
      <c r="M41" s="24" t="s">
        <v>67</v>
      </c>
      <c r="N41" s="14"/>
      <c r="O41" s="14"/>
      <c r="P41" s="27" t="str">
        <f aca="false">IF(OR(N41="",O41=""),"",O41-N41)</f>
        <v/>
      </c>
      <c r="Q41" s="28" t="n">
        <f aca="false">IF(A41="","",COUNTIF($B$5:$B$500,A41))</f>
        <v>0</v>
      </c>
      <c r="R41" s="29" t="n">
        <f aca="false">IF(A41="","",IF(Q41&gt;0,COUNTIFS($B$5:$B$500,A41,$E$5:$E$500,"Done")/Q41,IF(E41="Done",1,0)))</f>
        <v>0</v>
      </c>
      <c r="S41" s="30" t="str">
        <f aca="true">IF(OR(A41="",E41="Done",J41=""),"",IF(J41&lt;TODAY(),"OVERDUE",IF(J41-TODAY()&lt;=7,"Due this week","")))</f>
        <v/>
      </c>
      <c r="T41" s="25"/>
    </row>
    <row r="42" customFormat="false" ht="15" hidden="false" customHeight="false" outlineLevel="0" collapsed="false">
      <c r="A42" s="24" t="s">
        <v>167</v>
      </c>
      <c r="B42" s="24" t="s">
        <v>152</v>
      </c>
      <c r="C42" s="9" t="s">
        <v>23</v>
      </c>
      <c r="D42" s="31" t="s">
        <v>168</v>
      </c>
      <c r="E42" s="9" t="s">
        <v>71</v>
      </c>
      <c r="F42" s="24" t="s">
        <v>77</v>
      </c>
      <c r="G42" s="9" t="s">
        <v>169</v>
      </c>
      <c r="H42" s="9" t="s">
        <v>154</v>
      </c>
      <c r="I42" s="26"/>
      <c r="J42" s="26"/>
      <c r="K42" s="26"/>
      <c r="L42" s="24"/>
      <c r="M42" s="24" t="s">
        <v>67</v>
      </c>
      <c r="N42" s="14"/>
      <c r="O42" s="14"/>
      <c r="P42" s="27" t="str">
        <f aca="false">IF(OR(N42="",O42=""),"",O42-N42)</f>
        <v/>
      </c>
      <c r="Q42" s="28" t="n">
        <f aca="false">IF(A42="","",COUNTIF($B$5:$B$500,A42))</f>
        <v>0</v>
      </c>
      <c r="R42" s="29" t="n">
        <f aca="false">IF(A42="","",IF(Q42&gt;0,COUNTIFS($B$5:$B$500,A42,$E$5:$E$500,"Done")/Q42,IF(E42="Done",1,0)))</f>
        <v>0</v>
      </c>
      <c r="S42" s="30" t="str">
        <f aca="true">IF(OR(A42="",E42="Done",J42=""),"",IF(J42&lt;TODAY(),"OVERDUE",IF(J42-TODAY()&lt;=7,"Due this week","")))</f>
        <v/>
      </c>
      <c r="T42" s="25"/>
    </row>
    <row r="43" customFormat="false" ht="15" hidden="false" customHeight="false" outlineLevel="0" collapsed="false">
      <c r="A43" s="24" t="s">
        <v>170</v>
      </c>
      <c r="B43" s="24"/>
      <c r="C43" s="9" t="s">
        <v>24</v>
      </c>
      <c r="D43" s="25" t="s">
        <v>171</v>
      </c>
      <c r="E43" s="9" t="s">
        <v>71</v>
      </c>
      <c r="F43" s="24" t="s">
        <v>64</v>
      </c>
      <c r="G43" s="9" t="s">
        <v>87</v>
      </c>
      <c r="H43" s="9" t="s">
        <v>154</v>
      </c>
      <c r="I43" s="26" t="n">
        <v>46331</v>
      </c>
      <c r="J43" s="26" t="n">
        <v>46346</v>
      </c>
      <c r="K43" s="26"/>
      <c r="L43" s="24"/>
      <c r="M43" s="24" t="s">
        <v>67</v>
      </c>
      <c r="N43" s="14"/>
      <c r="O43" s="14"/>
      <c r="P43" s="27" t="str">
        <f aca="false">IF(OR(N43="",O43=""),"",O43-N43)</f>
        <v/>
      </c>
      <c r="Q43" s="28" t="n">
        <f aca="false">IF(A43="","",COUNTIF($B$5:$B$500,A43))</f>
        <v>4</v>
      </c>
      <c r="R43" s="29" t="n">
        <f aca="false">IF(A43="","",IF(Q43&gt;0,COUNTIFS($B$5:$B$500,A43,$E$5:$E$500,"Done")/Q43,IF(E43="Done",1,0)))</f>
        <v>0</v>
      </c>
      <c r="S43" s="30" t="str">
        <f aca="true">IF(OR(A43="",E43="Done",J43=""),"",IF(J43&lt;TODAY(),"OVERDUE",IF(J43-TODAY()&lt;=7,"Due this week","")))</f>
        <v/>
      </c>
      <c r="T43" s="25"/>
    </row>
    <row r="44" customFormat="false" ht="23.85" hidden="false" customHeight="false" outlineLevel="0" collapsed="false">
      <c r="A44" s="24" t="s">
        <v>172</v>
      </c>
      <c r="B44" s="24" t="s">
        <v>170</v>
      </c>
      <c r="C44" s="9" t="s">
        <v>24</v>
      </c>
      <c r="D44" s="31" t="s">
        <v>173</v>
      </c>
      <c r="E44" s="9" t="s">
        <v>71</v>
      </c>
      <c r="F44" s="24" t="s">
        <v>64</v>
      </c>
      <c r="G44" s="9" t="s">
        <v>87</v>
      </c>
      <c r="H44" s="9" t="s">
        <v>66</v>
      </c>
      <c r="I44" s="26" t="n">
        <v>46331</v>
      </c>
      <c r="J44" s="26" t="n">
        <v>46336</v>
      </c>
      <c r="K44" s="26"/>
      <c r="L44" s="24"/>
      <c r="M44" s="24" t="s">
        <v>67</v>
      </c>
      <c r="N44" s="14"/>
      <c r="O44" s="14"/>
      <c r="P44" s="27" t="str">
        <f aca="false">IF(OR(N44="",O44=""),"",O44-N44)</f>
        <v/>
      </c>
      <c r="Q44" s="28" t="n">
        <f aca="false">IF(A44="","",COUNTIF($B$5:$B$500,A44))</f>
        <v>0</v>
      </c>
      <c r="R44" s="29" t="n">
        <f aca="false">IF(A44="","",IF(Q44&gt;0,COUNTIFS($B$5:$B$500,A44,$E$5:$E$500,"Done")/Q44,IF(E44="Done",1,0)))</f>
        <v>0</v>
      </c>
      <c r="S44" s="30" t="str">
        <f aca="true">IF(OR(A44="",E44="Done",J44=""),"",IF(J44&lt;TODAY(),"OVERDUE",IF(J44-TODAY()&lt;=7,"Due this week","")))</f>
        <v/>
      </c>
      <c r="T44" s="25"/>
    </row>
    <row r="45" customFormat="false" ht="15" hidden="false" customHeight="false" outlineLevel="0" collapsed="false">
      <c r="A45" s="24" t="s">
        <v>174</v>
      </c>
      <c r="B45" s="24" t="s">
        <v>170</v>
      </c>
      <c r="C45" s="9" t="s">
        <v>24</v>
      </c>
      <c r="D45" s="31" t="s">
        <v>175</v>
      </c>
      <c r="E45" s="9" t="s">
        <v>71</v>
      </c>
      <c r="F45" s="24" t="s">
        <v>77</v>
      </c>
      <c r="G45" s="9" t="s">
        <v>87</v>
      </c>
      <c r="H45" s="9" t="s">
        <v>66</v>
      </c>
      <c r="I45" s="26" t="n">
        <v>46331</v>
      </c>
      <c r="J45" s="26" t="n">
        <v>46339</v>
      </c>
      <c r="K45" s="26"/>
      <c r="L45" s="24" t="s">
        <v>155</v>
      </c>
      <c r="M45" s="24" t="s">
        <v>67</v>
      </c>
      <c r="N45" s="14"/>
      <c r="O45" s="14"/>
      <c r="P45" s="27" t="str">
        <f aca="false">IF(OR(N45="",O45=""),"",O45-N45)</f>
        <v/>
      </c>
      <c r="Q45" s="28" t="n">
        <f aca="false">IF(A45="","",COUNTIF($B$5:$B$500,A45))</f>
        <v>0</v>
      </c>
      <c r="R45" s="29" t="n">
        <f aca="false">IF(A45="","",IF(Q45&gt;0,COUNTIFS($B$5:$B$500,A45,$E$5:$E$500,"Done")/Q45,IF(E45="Done",1,0)))</f>
        <v>0</v>
      </c>
      <c r="S45" s="30" t="str">
        <f aca="true">IF(OR(A45="",E45="Done",J45=""),"",IF(J45&lt;TODAY(),"OVERDUE",IF(J45-TODAY()&lt;=7,"Due this week","")))</f>
        <v/>
      </c>
      <c r="T45" s="25"/>
    </row>
    <row r="46" customFormat="false" ht="15" hidden="false" customHeight="false" outlineLevel="0" collapsed="false">
      <c r="A46" s="24" t="s">
        <v>176</v>
      </c>
      <c r="B46" s="24" t="s">
        <v>170</v>
      </c>
      <c r="C46" s="9" t="s">
        <v>24</v>
      </c>
      <c r="D46" s="31" t="s">
        <v>177</v>
      </c>
      <c r="E46" s="9" t="s">
        <v>71</v>
      </c>
      <c r="F46" s="24" t="s">
        <v>64</v>
      </c>
      <c r="G46" s="9" t="s">
        <v>87</v>
      </c>
      <c r="H46" s="9" t="s">
        <v>154</v>
      </c>
      <c r="I46" s="26" t="n">
        <v>46343</v>
      </c>
      <c r="J46" s="26" t="n">
        <v>46346</v>
      </c>
      <c r="K46" s="26"/>
      <c r="L46" s="24" t="s">
        <v>124</v>
      </c>
      <c r="M46" s="24" t="s">
        <v>67</v>
      </c>
      <c r="N46" s="14"/>
      <c r="O46" s="14"/>
      <c r="P46" s="27" t="str">
        <f aca="false">IF(OR(N46="",O46=""),"",O46-N46)</f>
        <v/>
      </c>
      <c r="Q46" s="28" t="n">
        <f aca="false">IF(A46="","",COUNTIF($B$5:$B$500,A46))</f>
        <v>0</v>
      </c>
      <c r="R46" s="29" t="n">
        <f aca="false">IF(A46="","",IF(Q46&gt;0,COUNTIFS($B$5:$B$500,A46,$E$5:$E$500,"Done")/Q46,IF(E46="Done",1,0)))</f>
        <v>0</v>
      </c>
      <c r="S46" s="30" t="str">
        <f aca="true">IF(OR(A46="",E46="Done",J46=""),"",IF(J46&lt;TODAY(),"OVERDUE",IF(J46-TODAY()&lt;=7,"Due this week","")))</f>
        <v/>
      </c>
      <c r="T46" s="25"/>
    </row>
    <row r="47" customFormat="false" ht="15" hidden="false" customHeight="false" outlineLevel="0" collapsed="false">
      <c r="A47" s="24" t="s">
        <v>178</v>
      </c>
      <c r="B47" s="24" t="s">
        <v>170</v>
      </c>
      <c r="C47" s="9" t="s">
        <v>24</v>
      </c>
      <c r="D47" s="31" t="s">
        <v>179</v>
      </c>
      <c r="E47" s="9" t="s">
        <v>71</v>
      </c>
      <c r="F47" s="24" t="s">
        <v>166</v>
      </c>
      <c r="G47" s="9" t="s">
        <v>169</v>
      </c>
      <c r="H47" s="9" t="s">
        <v>154</v>
      </c>
      <c r="I47" s="26"/>
      <c r="J47" s="26"/>
      <c r="K47" s="26"/>
      <c r="L47" s="24"/>
      <c r="M47" s="24" t="s">
        <v>67</v>
      </c>
      <c r="N47" s="14"/>
      <c r="O47" s="14"/>
      <c r="P47" s="27" t="str">
        <f aca="false">IF(OR(N47="",O47=""),"",O47-N47)</f>
        <v/>
      </c>
      <c r="Q47" s="28" t="n">
        <f aca="false">IF(A47="","",COUNTIF($B$5:$B$500,A47))</f>
        <v>0</v>
      </c>
      <c r="R47" s="29" t="n">
        <f aca="false">IF(A47="","",IF(Q47&gt;0,COUNTIFS($B$5:$B$500,A47,$E$5:$E$500,"Done")/Q47,IF(E47="Done",1,0)))</f>
        <v>0</v>
      </c>
      <c r="S47" s="30" t="str">
        <f aca="true">IF(OR(A47="",E47="Done",J47=""),"",IF(J47&lt;TODAY(),"OVERDUE",IF(J47-TODAY()&lt;=7,"Due this week","")))</f>
        <v/>
      </c>
      <c r="T47" s="25"/>
    </row>
    <row r="48" customFormat="false" ht="15" hidden="false" customHeight="false" outlineLevel="0" collapsed="false">
      <c r="A48" s="24" t="s">
        <v>180</v>
      </c>
      <c r="B48" s="24"/>
      <c r="C48" s="9" t="s">
        <v>25</v>
      </c>
      <c r="D48" s="25" t="s">
        <v>181</v>
      </c>
      <c r="E48" s="9" t="s">
        <v>71</v>
      </c>
      <c r="F48" s="24" t="s">
        <v>64</v>
      </c>
      <c r="G48" s="9" t="s">
        <v>182</v>
      </c>
      <c r="H48" s="9" t="s">
        <v>183</v>
      </c>
      <c r="I48" s="26" t="n">
        <v>46350</v>
      </c>
      <c r="J48" s="26" t="n">
        <v>46352</v>
      </c>
      <c r="K48" s="26"/>
      <c r="L48" s="24" t="s">
        <v>184</v>
      </c>
      <c r="M48" s="24" t="s">
        <v>67</v>
      </c>
      <c r="N48" s="14"/>
      <c r="O48" s="14"/>
      <c r="P48" s="27" t="str">
        <f aca="false">IF(OR(N48="",O48=""),"",O48-N48)</f>
        <v/>
      </c>
      <c r="Q48" s="28" t="n">
        <f aca="false">IF(A48="","",COUNTIF($B$5:$B$500,A48))</f>
        <v>4</v>
      </c>
      <c r="R48" s="29" t="n">
        <f aca="false">IF(A48="","",IF(Q48&gt;0,COUNTIFS($B$5:$B$500,A48,$E$5:$E$500,"Done")/Q48,IF(E48="Done",1,0)))</f>
        <v>0</v>
      </c>
      <c r="S48" s="30" t="str">
        <f aca="true">IF(OR(A48="",E48="Done",J48=""),"",IF(J48&lt;TODAY(),"OVERDUE",IF(J48-TODAY()&lt;=7,"Due this week","")))</f>
        <v/>
      </c>
      <c r="T48" s="25" t="s">
        <v>185</v>
      </c>
    </row>
    <row r="49" customFormat="false" ht="15" hidden="false" customHeight="false" outlineLevel="0" collapsed="false">
      <c r="A49" s="24" t="s">
        <v>186</v>
      </c>
      <c r="B49" s="24" t="s">
        <v>180</v>
      </c>
      <c r="C49" s="9" t="s">
        <v>25</v>
      </c>
      <c r="D49" s="31" t="s">
        <v>187</v>
      </c>
      <c r="E49" s="9" t="s">
        <v>71</v>
      </c>
      <c r="F49" s="24" t="s">
        <v>64</v>
      </c>
      <c r="G49" s="9" t="s">
        <v>182</v>
      </c>
      <c r="H49" s="9" t="s">
        <v>183</v>
      </c>
      <c r="I49" s="26" t="n">
        <v>46350</v>
      </c>
      <c r="J49" s="26" t="n">
        <v>46350</v>
      </c>
      <c r="K49" s="26"/>
      <c r="L49" s="24"/>
      <c r="M49" s="24" t="s">
        <v>67</v>
      </c>
      <c r="N49" s="14"/>
      <c r="O49" s="14"/>
      <c r="P49" s="27" t="str">
        <f aca="false">IF(OR(N49="",O49=""),"",O49-N49)</f>
        <v/>
      </c>
      <c r="Q49" s="28" t="n">
        <f aca="false">IF(A49="","",COUNTIF($B$5:$B$500,A49))</f>
        <v>0</v>
      </c>
      <c r="R49" s="29" t="n">
        <f aca="false">IF(A49="","",IF(Q49&gt;0,COUNTIFS($B$5:$B$500,A49,$E$5:$E$500,"Done")/Q49,IF(E49="Done",1,0)))</f>
        <v>0</v>
      </c>
      <c r="S49" s="30" t="str">
        <f aca="true">IF(OR(A49="",E49="Done",J49=""),"",IF(J49&lt;TODAY(),"OVERDUE",IF(J49-TODAY()&lt;=7,"Due this week","")))</f>
        <v/>
      </c>
      <c r="T49" s="25"/>
    </row>
    <row r="50" customFormat="false" ht="15" hidden="false" customHeight="false" outlineLevel="0" collapsed="false">
      <c r="A50" s="24" t="s">
        <v>188</v>
      </c>
      <c r="B50" s="24" t="s">
        <v>180</v>
      </c>
      <c r="C50" s="9" t="s">
        <v>25</v>
      </c>
      <c r="D50" s="31" t="s">
        <v>189</v>
      </c>
      <c r="E50" s="9" t="s">
        <v>71</v>
      </c>
      <c r="F50" s="24" t="s">
        <v>64</v>
      </c>
      <c r="G50" s="9" t="s">
        <v>182</v>
      </c>
      <c r="H50" s="9" t="s">
        <v>183</v>
      </c>
      <c r="I50" s="26" t="n">
        <v>46350</v>
      </c>
      <c r="J50" s="26" t="n">
        <v>46350</v>
      </c>
      <c r="K50" s="26"/>
      <c r="L50" s="24"/>
      <c r="M50" s="24" t="s">
        <v>67</v>
      </c>
      <c r="N50" s="14"/>
      <c r="O50" s="14"/>
      <c r="P50" s="27" t="str">
        <f aca="false">IF(OR(N50="",O50=""),"",O50-N50)</f>
        <v/>
      </c>
      <c r="Q50" s="28" t="n">
        <f aca="false">IF(A50="","",COUNTIF($B$5:$B$500,A50))</f>
        <v>0</v>
      </c>
      <c r="R50" s="29" t="n">
        <f aca="false">IF(A50="","",IF(Q50&gt;0,COUNTIFS($B$5:$B$500,A50,$E$5:$E$500,"Done")/Q50,IF(E50="Done",1,0)))</f>
        <v>0</v>
      </c>
      <c r="S50" s="30" t="str">
        <f aca="true">IF(OR(A50="",E50="Done",J50=""),"",IF(J50&lt;TODAY(),"OVERDUE",IF(J50-TODAY()&lt;=7,"Due this week","")))</f>
        <v/>
      </c>
      <c r="T50" s="25"/>
    </row>
    <row r="51" customFormat="false" ht="15" hidden="false" customHeight="false" outlineLevel="0" collapsed="false">
      <c r="A51" s="24" t="s">
        <v>190</v>
      </c>
      <c r="B51" s="24" t="s">
        <v>180</v>
      </c>
      <c r="C51" s="9" t="s">
        <v>25</v>
      </c>
      <c r="D51" s="31" t="s">
        <v>191</v>
      </c>
      <c r="E51" s="9" t="s">
        <v>71</v>
      </c>
      <c r="F51" s="24" t="s">
        <v>64</v>
      </c>
      <c r="G51" s="9" t="s">
        <v>182</v>
      </c>
      <c r="H51" s="9" t="s">
        <v>183</v>
      </c>
      <c r="I51" s="26" t="n">
        <v>46351</v>
      </c>
      <c r="J51" s="26" t="n">
        <v>46352</v>
      </c>
      <c r="K51" s="26"/>
      <c r="L51" s="24"/>
      <c r="M51" s="24" t="s">
        <v>67</v>
      </c>
      <c r="N51" s="14"/>
      <c r="O51" s="14"/>
      <c r="P51" s="27" t="str">
        <f aca="false">IF(OR(N51="",O51=""),"",O51-N51)</f>
        <v/>
      </c>
      <c r="Q51" s="28" t="n">
        <f aca="false">IF(A51="","",COUNTIF($B$5:$B$500,A51))</f>
        <v>0</v>
      </c>
      <c r="R51" s="29" t="n">
        <f aca="false">IF(A51="","",IF(Q51&gt;0,COUNTIFS($B$5:$B$500,A51,$E$5:$E$500,"Done")/Q51,IF(E51="Done",1,0)))</f>
        <v>0</v>
      </c>
      <c r="S51" s="30" t="str">
        <f aca="true">IF(OR(A51="",E51="Done",J51=""),"",IF(J51&lt;TODAY(),"OVERDUE",IF(J51-TODAY()&lt;=7,"Due this week","")))</f>
        <v/>
      </c>
      <c r="T51" s="25" t="s">
        <v>192</v>
      </c>
    </row>
    <row r="52" customFormat="false" ht="15" hidden="false" customHeight="false" outlineLevel="0" collapsed="false">
      <c r="A52" s="24" t="s">
        <v>193</v>
      </c>
      <c r="B52" s="24" t="s">
        <v>180</v>
      </c>
      <c r="C52" s="9" t="s">
        <v>25</v>
      </c>
      <c r="D52" s="31" t="s">
        <v>194</v>
      </c>
      <c r="E52" s="9" t="s">
        <v>71</v>
      </c>
      <c r="F52" s="24" t="s">
        <v>77</v>
      </c>
      <c r="G52" s="9" t="s">
        <v>182</v>
      </c>
      <c r="H52" s="9" t="s">
        <v>66</v>
      </c>
      <c r="I52" s="26" t="n">
        <v>46331</v>
      </c>
      <c r="J52" s="26" t="n">
        <v>46339</v>
      </c>
      <c r="K52" s="26"/>
      <c r="L52" s="24"/>
      <c r="M52" s="24" t="s">
        <v>67</v>
      </c>
      <c r="N52" s="14"/>
      <c r="O52" s="14"/>
      <c r="P52" s="27" t="str">
        <f aca="false">IF(OR(N52="",O52=""),"",O52-N52)</f>
        <v/>
      </c>
      <c r="Q52" s="28" t="n">
        <f aca="false">IF(A52="","",COUNTIF($B$5:$B$500,A52))</f>
        <v>0</v>
      </c>
      <c r="R52" s="29" t="n">
        <f aca="false">IF(A52="","",IF(Q52&gt;0,COUNTIFS($B$5:$B$500,A52,$E$5:$E$500,"Done")/Q52,IF(E52="Done",1,0)))</f>
        <v>0</v>
      </c>
      <c r="S52" s="30" t="str">
        <f aca="true">IF(OR(A52="",E52="Done",J52=""),"",IF(J52&lt;TODAY(),"OVERDUE",IF(J52-TODAY()&lt;=7,"Due this week","")))</f>
        <v/>
      </c>
      <c r="T52" s="25" t="s">
        <v>195</v>
      </c>
    </row>
    <row r="53" customFormat="false" ht="15" hidden="false" customHeight="false" outlineLevel="0" collapsed="false">
      <c r="A53" s="24" t="s">
        <v>196</v>
      </c>
      <c r="B53" s="24"/>
      <c r="C53" s="9" t="s">
        <v>25</v>
      </c>
      <c r="D53" s="25" t="s">
        <v>197</v>
      </c>
      <c r="E53" s="9" t="s">
        <v>71</v>
      </c>
      <c r="F53" s="24" t="s">
        <v>77</v>
      </c>
      <c r="G53" s="9" t="s">
        <v>182</v>
      </c>
      <c r="H53" s="9" t="s">
        <v>183</v>
      </c>
      <c r="I53" s="26" t="n">
        <v>46356</v>
      </c>
      <c r="J53" s="26" t="n">
        <v>46360</v>
      </c>
      <c r="K53" s="26"/>
      <c r="L53" s="24" t="s">
        <v>198</v>
      </c>
      <c r="M53" s="24" t="s">
        <v>67</v>
      </c>
      <c r="N53" s="14"/>
      <c r="O53" s="14"/>
      <c r="P53" s="27" t="str">
        <f aca="false">IF(OR(N53="",O53=""),"",O53-N53)</f>
        <v/>
      </c>
      <c r="Q53" s="28" t="n">
        <f aca="false">IF(A53="","",COUNTIF($B$5:$B$500,A53))</f>
        <v>0</v>
      </c>
      <c r="R53" s="29" t="n">
        <f aca="false">IF(A53="","",IF(Q53&gt;0,COUNTIFS($B$5:$B$500,A53,$E$5:$E$500,"Done")/Q53,IF(E53="Done",1,0)))</f>
        <v>0</v>
      </c>
      <c r="S53" s="30" t="str">
        <f aca="true">IF(OR(A53="",E53="Done",J53=""),"",IF(J53&lt;TODAY(),"OVERDUE",IF(J53-TODAY()&lt;=7,"Due this week","")))</f>
        <v/>
      </c>
      <c r="T53" s="25"/>
    </row>
    <row r="54" customFormat="false" ht="15" hidden="false" customHeight="false" outlineLevel="0" collapsed="false">
      <c r="A54" s="24" t="s">
        <v>137</v>
      </c>
      <c r="B54" s="24"/>
      <c r="C54" s="9" t="s">
        <v>26</v>
      </c>
      <c r="D54" s="25" t="s">
        <v>199</v>
      </c>
      <c r="E54" s="9" t="s">
        <v>71</v>
      </c>
      <c r="F54" s="24" t="s">
        <v>64</v>
      </c>
      <c r="G54" s="9" t="s">
        <v>87</v>
      </c>
      <c r="H54" s="9" t="s">
        <v>66</v>
      </c>
      <c r="I54" s="26" t="n">
        <v>46331</v>
      </c>
      <c r="J54" s="26" t="n">
        <v>46339</v>
      </c>
      <c r="K54" s="26"/>
      <c r="L54" s="24"/>
      <c r="M54" s="24" t="s">
        <v>67</v>
      </c>
      <c r="N54" s="14"/>
      <c r="O54" s="14"/>
      <c r="P54" s="27" t="str">
        <f aca="false">IF(OR(N54="",O54=""),"",O54-N54)</f>
        <v/>
      </c>
      <c r="Q54" s="28" t="n">
        <f aca="false">IF(A54="","",COUNTIF($B$5:$B$500,A54))</f>
        <v>3</v>
      </c>
      <c r="R54" s="29" t="n">
        <f aca="false">IF(A54="","",IF(Q54&gt;0,COUNTIFS($B$5:$B$500,A54,$E$5:$E$500,"Done")/Q54,IF(E54="Done",1,0)))</f>
        <v>0</v>
      </c>
      <c r="S54" s="30" t="str">
        <f aca="true">IF(OR(A54="",E54="Done",J54=""),"",IF(J54&lt;TODAY(),"OVERDUE",IF(J54-TODAY()&lt;=7,"Due this week","")))</f>
        <v/>
      </c>
      <c r="T54" s="25"/>
    </row>
    <row r="55" customFormat="false" ht="15" hidden="false" customHeight="false" outlineLevel="0" collapsed="false">
      <c r="A55" s="24" t="s">
        <v>200</v>
      </c>
      <c r="B55" s="24" t="s">
        <v>137</v>
      </c>
      <c r="C55" s="9" t="s">
        <v>26</v>
      </c>
      <c r="D55" s="31" t="s">
        <v>201</v>
      </c>
      <c r="E55" s="9" t="s">
        <v>71</v>
      </c>
      <c r="F55" s="24" t="s">
        <v>64</v>
      </c>
      <c r="G55" s="9" t="s">
        <v>87</v>
      </c>
      <c r="H55" s="9" t="s">
        <v>66</v>
      </c>
      <c r="I55" s="26" t="n">
        <v>46331</v>
      </c>
      <c r="J55" s="26" t="n">
        <v>46339</v>
      </c>
      <c r="K55" s="26"/>
      <c r="L55" s="24"/>
      <c r="M55" s="24" t="s">
        <v>67</v>
      </c>
      <c r="N55" s="14"/>
      <c r="O55" s="14"/>
      <c r="P55" s="27" t="str">
        <f aca="false">IF(OR(N55="",O55=""),"",O55-N55)</f>
        <v/>
      </c>
      <c r="Q55" s="28" t="n">
        <f aca="false">IF(A55="","",COUNTIF($B$5:$B$500,A55))</f>
        <v>0</v>
      </c>
      <c r="R55" s="29" t="n">
        <f aca="false">IF(A55="","",IF(Q55&gt;0,COUNTIFS($B$5:$B$500,A55,$E$5:$E$500,"Done")/Q55,IF(E55="Done",1,0)))</f>
        <v>0</v>
      </c>
      <c r="S55" s="30" t="str">
        <f aca="true">IF(OR(A55="",E55="Done",J55=""),"",IF(J55&lt;TODAY(),"OVERDUE",IF(J55-TODAY()&lt;=7,"Due this week","")))</f>
        <v/>
      </c>
      <c r="T55" s="25"/>
    </row>
    <row r="56" customFormat="false" ht="15" hidden="false" customHeight="false" outlineLevel="0" collapsed="false">
      <c r="A56" s="24" t="s">
        <v>202</v>
      </c>
      <c r="B56" s="24" t="s">
        <v>137</v>
      </c>
      <c r="C56" s="9" t="s">
        <v>26</v>
      </c>
      <c r="D56" s="31" t="s">
        <v>203</v>
      </c>
      <c r="E56" s="9" t="s">
        <v>71</v>
      </c>
      <c r="F56" s="24" t="s">
        <v>77</v>
      </c>
      <c r="G56" s="9" t="s">
        <v>87</v>
      </c>
      <c r="H56" s="9" t="s">
        <v>66</v>
      </c>
      <c r="I56" s="26"/>
      <c r="J56" s="26"/>
      <c r="K56" s="26"/>
      <c r="L56" s="24"/>
      <c r="M56" s="24" t="s">
        <v>67</v>
      </c>
      <c r="N56" s="14"/>
      <c r="O56" s="14"/>
      <c r="P56" s="27" t="str">
        <f aca="false">IF(OR(N56="",O56=""),"",O56-N56)</f>
        <v/>
      </c>
      <c r="Q56" s="28" t="n">
        <f aca="false">IF(A56="","",COUNTIF($B$5:$B$500,A56))</f>
        <v>0</v>
      </c>
      <c r="R56" s="29" t="n">
        <f aca="false">IF(A56="","",IF(Q56&gt;0,COUNTIFS($B$5:$B$500,A56,$E$5:$E$500,"Done")/Q56,IF(E56="Done",1,0)))</f>
        <v>0</v>
      </c>
      <c r="S56" s="30" t="str">
        <f aca="true">IF(OR(A56="",E56="Done",J56=""),"",IF(J56&lt;TODAY(),"OVERDUE",IF(J56-TODAY()&lt;=7,"Due this week","")))</f>
        <v/>
      </c>
      <c r="T56" s="25"/>
    </row>
    <row r="57" customFormat="false" ht="15" hidden="false" customHeight="false" outlineLevel="0" collapsed="false">
      <c r="A57" s="24" t="s">
        <v>204</v>
      </c>
      <c r="B57" s="24" t="s">
        <v>137</v>
      </c>
      <c r="C57" s="9" t="s">
        <v>26</v>
      </c>
      <c r="D57" s="31" t="s">
        <v>205</v>
      </c>
      <c r="E57" s="9" t="s">
        <v>71</v>
      </c>
      <c r="F57" s="24" t="s">
        <v>166</v>
      </c>
      <c r="G57" s="9" t="s">
        <v>169</v>
      </c>
      <c r="H57" s="9" t="s">
        <v>66</v>
      </c>
      <c r="I57" s="26"/>
      <c r="J57" s="26"/>
      <c r="K57" s="26"/>
      <c r="L57" s="24"/>
      <c r="M57" s="24" t="s">
        <v>67</v>
      </c>
      <c r="N57" s="14"/>
      <c r="O57" s="14"/>
      <c r="P57" s="27" t="str">
        <f aca="false">IF(OR(N57="",O57=""),"",O57-N57)</f>
        <v/>
      </c>
      <c r="Q57" s="28" t="n">
        <f aca="false">IF(A57="","",COUNTIF($B$5:$B$500,A57))</f>
        <v>0</v>
      </c>
      <c r="R57" s="29" t="n">
        <f aca="false">IF(A57="","",IF(Q57&gt;0,COUNTIFS($B$5:$B$500,A57,$E$5:$E$500,"Done")/Q57,IF(E57="Done",1,0)))</f>
        <v>0</v>
      </c>
      <c r="S57" s="30" t="str">
        <f aca="true">IF(OR(A57="",E57="Done",J57=""),"",IF(J57&lt;TODAY(),"OVERDUE",IF(J57-TODAY()&lt;=7,"Due this week","")))</f>
        <v/>
      </c>
      <c r="T57" s="25"/>
    </row>
    <row r="58" customFormat="false" ht="15" hidden="false" customHeight="false" outlineLevel="0" collapsed="false">
      <c r="A58" s="24" t="s">
        <v>206</v>
      </c>
      <c r="B58" s="24"/>
      <c r="C58" s="9" t="s">
        <v>26</v>
      </c>
      <c r="D58" s="25" t="s">
        <v>207</v>
      </c>
      <c r="E58" s="9" t="s">
        <v>71</v>
      </c>
      <c r="F58" s="24" t="s">
        <v>77</v>
      </c>
      <c r="G58" s="9" t="s">
        <v>87</v>
      </c>
      <c r="H58" s="9" t="s">
        <v>88</v>
      </c>
      <c r="I58" s="26"/>
      <c r="J58" s="26"/>
      <c r="K58" s="26"/>
      <c r="L58" s="24" t="s">
        <v>128</v>
      </c>
      <c r="M58" s="24" t="s">
        <v>89</v>
      </c>
      <c r="N58" s="14"/>
      <c r="O58" s="14"/>
      <c r="P58" s="27" t="str">
        <f aca="false">IF(OR(N58="",O58=""),"",O58-N58)</f>
        <v/>
      </c>
      <c r="Q58" s="28" t="n">
        <f aca="false">IF(A58="","",COUNTIF($B$5:$B$500,A58))</f>
        <v>0</v>
      </c>
      <c r="R58" s="29" t="n">
        <f aca="false">IF(A58="","",IF(Q58&gt;0,COUNTIFS($B$5:$B$500,A58,$E$5:$E$500,"Done")/Q58,IF(E58="Done",1,0)))</f>
        <v>0</v>
      </c>
      <c r="S58" s="30" t="str">
        <f aca="true">IF(OR(A58="",E58="Done",J58=""),"",IF(J58&lt;TODAY(),"OVERDUE",IF(J58-TODAY()&lt;=7,"Due this week","")))</f>
        <v/>
      </c>
      <c r="T58" s="25"/>
    </row>
    <row r="59" customFormat="false" ht="15" hidden="false" customHeight="false" outlineLevel="0" collapsed="false">
      <c r="A59" s="24" t="s">
        <v>208</v>
      </c>
      <c r="B59" s="24"/>
      <c r="C59" s="9" t="s">
        <v>26</v>
      </c>
      <c r="D59" s="25" t="s">
        <v>209</v>
      </c>
      <c r="E59" s="9" t="s">
        <v>71</v>
      </c>
      <c r="F59" s="24" t="s">
        <v>166</v>
      </c>
      <c r="G59" s="9" t="s">
        <v>169</v>
      </c>
      <c r="H59" s="9" t="s">
        <v>88</v>
      </c>
      <c r="I59" s="26"/>
      <c r="J59" s="26"/>
      <c r="K59" s="26"/>
      <c r="L59" s="24" t="s">
        <v>210</v>
      </c>
      <c r="M59" s="24" t="s">
        <v>89</v>
      </c>
      <c r="N59" s="14"/>
      <c r="O59" s="14"/>
      <c r="P59" s="27" t="str">
        <f aca="false">IF(OR(N59="",O59=""),"",O59-N59)</f>
        <v/>
      </c>
      <c r="Q59" s="28" t="n">
        <f aca="false">IF(A59="","",COUNTIF($B$5:$B$500,A59))</f>
        <v>0</v>
      </c>
      <c r="R59" s="29" t="n">
        <f aca="false">IF(A59="","",IF(Q59&gt;0,COUNTIFS($B$5:$B$500,A59,$E$5:$E$500,"Done")/Q59,IF(E59="Done",1,0)))</f>
        <v>0</v>
      </c>
      <c r="S59" s="30" t="str">
        <f aca="true">IF(OR(A59="",E59="Done",J59=""),"",IF(J59&lt;TODAY(),"OVERDUE",IF(J59-TODAY()&lt;=7,"Due this week","")))</f>
        <v/>
      </c>
      <c r="T59" s="25"/>
    </row>
    <row r="60" customFormat="false" ht="15" hidden="false" customHeight="false" outlineLevel="0" collapsed="false">
      <c r="A60" s="24" t="s">
        <v>211</v>
      </c>
      <c r="B60" s="24"/>
      <c r="C60" s="9" t="s">
        <v>27</v>
      </c>
      <c r="D60" s="25" t="s">
        <v>212</v>
      </c>
      <c r="E60" s="9" t="s">
        <v>71</v>
      </c>
      <c r="F60" s="24" t="s">
        <v>77</v>
      </c>
      <c r="G60" s="9" t="s">
        <v>213</v>
      </c>
      <c r="H60" s="9" t="s">
        <v>66</v>
      </c>
      <c r="I60" s="26"/>
      <c r="J60" s="26"/>
      <c r="K60" s="26"/>
      <c r="L60" s="24"/>
      <c r="M60" s="24" t="s">
        <v>67</v>
      </c>
      <c r="N60" s="14"/>
      <c r="O60" s="14"/>
      <c r="P60" s="27" t="str">
        <f aca="false">IF(OR(N60="",O60=""),"",O60-N60)</f>
        <v/>
      </c>
      <c r="Q60" s="28" t="n">
        <f aca="false">IF(A60="","",COUNTIF($B$5:$B$500,A60))</f>
        <v>3</v>
      </c>
      <c r="R60" s="29" t="n">
        <f aca="false">IF(A60="","",IF(Q60&gt;0,COUNTIFS($B$5:$B$500,A60,$E$5:$E$500,"Done")/Q60,IF(E60="Done",1,0)))</f>
        <v>0</v>
      </c>
      <c r="S60" s="30" t="str">
        <f aca="true">IF(OR(A60="",E60="Done",J60=""),"",IF(J60&lt;TODAY(),"OVERDUE",IF(J60-TODAY()&lt;=7,"Due this week","")))</f>
        <v/>
      </c>
      <c r="T60" s="25"/>
    </row>
    <row r="61" customFormat="false" ht="15" hidden="false" customHeight="false" outlineLevel="0" collapsed="false">
      <c r="A61" s="24" t="s">
        <v>214</v>
      </c>
      <c r="B61" s="24" t="s">
        <v>211</v>
      </c>
      <c r="C61" s="9" t="s">
        <v>27</v>
      </c>
      <c r="D61" s="31" t="s">
        <v>215</v>
      </c>
      <c r="E61" s="9" t="s">
        <v>71</v>
      </c>
      <c r="F61" s="24" t="s">
        <v>77</v>
      </c>
      <c r="G61" s="9" t="s">
        <v>213</v>
      </c>
      <c r="H61" s="9" t="s">
        <v>66</v>
      </c>
      <c r="I61" s="26"/>
      <c r="J61" s="26"/>
      <c r="K61" s="26"/>
      <c r="L61" s="24"/>
      <c r="M61" s="24" t="s">
        <v>67</v>
      </c>
      <c r="N61" s="14"/>
      <c r="O61" s="14"/>
      <c r="P61" s="27" t="str">
        <f aca="false">IF(OR(N61="",O61=""),"",O61-N61)</f>
        <v/>
      </c>
      <c r="Q61" s="28" t="n">
        <f aca="false">IF(A61="","",COUNTIF($B$5:$B$500,A61))</f>
        <v>0</v>
      </c>
      <c r="R61" s="29" t="n">
        <f aca="false">IF(A61="","",IF(Q61&gt;0,COUNTIFS($B$5:$B$500,A61,$E$5:$E$500,"Done")/Q61,IF(E61="Done",1,0)))</f>
        <v>0</v>
      </c>
      <c r="S61" s="30" t="str">
        <f aca="true">IF(OR(A61="",E61="Done",J61=""),"",IF(J61&lt;TODAY(),"OVERDUE",IF(J61-TODAY()&lt;=7,"Due this week","")))</f>
        <v/>
      </c>
      <c r="T61" s="25"/>
    </row>
    <row r="62" customFormat="false" ht="15" hidden="false" customHeight="false" outlineLevel="0" collapsed="false">
      <c r="A62" s="24" t="s">
        <v>216</v>
      </c>
      <c r="B62" s="24" t="s">
        <v>211</v>
      </c>
      <c r="C62" s="9" t="s">
        <v>27</v>
      </c>
      <c r="D62" s="31" t="s">
        <v>217</v>
      </c>
      <c r="E62" s="9" t="s">
        <v>71</v>
      </c>
      <c r="F62" s="24" t="s">
        <v>77</v>
      </c>
      <c r="G62" s="9" t="s">
        <v>213</v>
      </c>
      <c r="H62" s="9" t="s">
        <v>66</v>
      </c>
      <c r="I62" s="26"/>
      <c r="J62" s="26"/>
      <c r="K62" s="26"/>
      <c r="L62" s="24"/>
      <c r="M62" s="24" t="s">
        <v>67</v>
      </c>
      <c r="N62" s="14"/>
      <c r="O62" s="14"/>
      <c r="P62" s="27" t="str">
        <f aca="false">IF(OR(N62="",O62=""),"",O62-N62)</f>
        <v/>
      </c>
      <c r="Q62" s="28" t="n">
        <f aca="false">IF(A62="","",COUNTIF($B$5:$B$500,A62))</f>
        <v>0</v>
      </c>
      <c r="R62" s="29" t="n">
        <f aca="false">IF(A62="","",IF(Q62&gt;0,COUNTIFS($B$5:$B$500,A62,$E$5:$E$500,"Done")/Q62,IF(E62="Done",1,0)))</f>
        <v>0</v>
      </c>
      <c r="S62" s="30" t="str">
        <f aca="true">IF(OR(A62="",E62="Done",J62=""),"",IF(J62&lt;TODAY(),"OVERDUE",IF(J62-TODAY()&lt;=7,"Due this week","")))</f>
        <v/>
      </c>
      <c r="T62" s="25"/>
    </row>
    <row r="63" customFormat="false" ht="15" hidden="false" customHeight="false" outlineLevel="0" collapsed="false">
      <c r="A63" s="24" t="s">
        <v>218</v>
      </c>
      <c r="B63" s="24" t="s">
        <v>211</v>
      </c>
      <c r="C63" s="9" t="s">
        <v>27</v>
      </c>
      <c r="D63" s="31" t="s">
        <v>219</v>
      </c>
      <c r="E63" s="9" t="s">
        <v>71</v>
      </c>
      <c r="F63" s="24" t="s">
        <v>77</v>
      </c>
      <c r="G63" s="9" t="s">
        <v>213</v>
      </c>
      <c r="H63" s="9" t="s">
        <v>66</v>
      </c>
      <c r="I63" s="26"/>
      <c r="J63" s="26"/>
      <c r="K63" s="26"/>
      <c r="L63" s="24"/>
      <c r="M63" s="24" t="s">
        <v>67</v>
      </c>
      <c r="N63" s="14"/>
      <c r="O63" s="14"/>
      <c r="P63" s="27" t="str">
        <f aca="false">IF(OR(N63="",O63=""),"",O63-N63)</f>
        <v/>
      </c>
      <c r="Q63" s="28" t="n">
        <f aca="false">IF(A63="","",COUNTIF($B$5:$B$500,A63))</f>
        <v>0</v>
      </c>
      <c r="R63" s="29" t="n">
        <f aca="false">IF(A63="","",IF(Q63&gt;0,COUNTIFS($B$5:$B$500,A63,$E$5:$E$500,"Done")/Q63,IF(E63="Done",1,0)))</f>
        <v>0</v>
      </c>
      <c r="S63" s="30" t="str">
        <f aca="true">IF(OR(A63="",E63="Done",J63=""),"",IF(J63&lt;TODAY(),"OVERDUE",IF(J63-TODAY()&lt;=7,"Due this week","")))</f>
        <v/>
      </c>
      <c r="T63" s="25"/>
    </row>
    <row r="64" customFormat="false" ht="15" hidden="false" customHeight="false" outlineLevel="0" collapsed="false">
      <c r="A64" s="24" t="s">
        <v>220</v>
      </c>
      <c r="B64" s="24"/>
      <c r="C64" s="9" t="s">
        <v>27</v>
      </c>
      <c r="D64" s="25" t="s">
        <v>221</v>
      </c>
      <c r="E64" s="9" t="s">
        <v>71</v>
      </c>
      <c r="F64" s="24" t="s">
        <v>77</v>
      </c>
      <c r="G64" s="9" t="s">
        <v>87</v>
      </c>
      <c r="H64" s="9" t="s">
        <v>115</v>
      </c>
      <c r="I64" s="26"/>
      <c r="J64" s="26"/>
      <c r="K64" s="26"/>
      <c r="L64" s="24" t="s">
        <v>211</v>
      </c>
      <c r="M64" s="24" t="s">
        <v>67</v>
      </c>
      <c r="N64" s="14"/>
      <c r="O64" s="14"/>
      <c r="P64" s="27" t="str">
        <f aca="false">IF(OR(N64="",O64=""),"",O64-N64)</f>
        <v/>
      </c>
      <c r="Q64" s="28" t="n">
        <f aca="false">IF(A64="","",COUNTIF($B$5:$B$500,A64))</f>
        <v>0</v>
      </c>
      <c r="R64" s="29" t="n">
        <f aca="false">IF(A64="","",IF(Q64&gt;0,COUNTIFS($B$5:$B$500,A64,$E$5:$E$500,"Done")/Q64,IF(E64="Done",1,0)))</f>
        <v>0</v>
      </c>
      <c r="S64" s="30" t="str">
        <f aca="true">IF(OR(A64="",E64="Done",J64=""),"",IF(J64&lt;TODAY(),"OVERDUE",IF(J64-TODAY()&lt;=7,"Due this week","")))</f>
        <v/>
      </c>
      <c r="T64" s="25"/>
    </row>
    <row r="65" customFormat="false" ht="15" hidden="false" customHeight="false" outlineLevel="0" collapsed="false">
      <c r="A65" s="24" t="s">
        <v>222</v>
      </c>
      <c r="B65" s="24"/>
      <c r="C65" s="9" t="s">
        <v>27</v>
      </c>
      <c r="D65" s="25" t="s">
        <v>223</v>
      </c>
      <c r="E65" s="9" t="s">
        <v>71</v>
      </c>
      <c r="F65" s="24" t="s">
        <v>77</v>
      </c>
      <c r="G65" s="9" t="s">
        <v>87</v>
      </c>
      <c r="H65" s="9" t="s">
        <v>224</v>
      </c>
      <c r="I65" s="26"/>
      <c r="J65" s="26"/>
      <c r="K65" s="26"/>
      <c r="L65" s="24" t="s">
        <v>220</v>
      </c>
      <c r="M65" s="24" t="s">
        <v>84</v>
      </c>
      <c r="N65" s="14"/>
      <c r="O65" s="14"/>
      <c r="P65" s="27" t="str">
        <f aca="false">IF(OR(N65="",O65=""),"",O65-N65)</f>
        <v/>
      </c>
      <c r="Q65" s="28" t="n">
        <f aca="false">IF(A65="","",COUNTIF($B$5:$B$500,A65))</f>
        <v>0</v>
      </c>
      <c r="R65" s="29" t="n">
        <f aca="false">IF(A65="","",IF(Q65&gt;0,COUNTIFS($B$5:$B$500,A65,$E$5:$E$500,"Done")/Q65,IF(E65="Done",1,0)))</f>
        <v>0</v>
      </c>
      <c r="S65" s="30" t="str">
        <f aca="true">IF(OR(A65="",E65="Done",J65=""),"",IF(J65&lt;TODAY(),"OVERDUE",IF(J65-TODAY()&lt;=7,"Due this week","")))</f>
        <v/>
      </c>
      <c r="T65" s="25"/>
    </row>
    <row r="66" customFormat="false" ht="23.85" hidden="false" customHeight="false" outlineLevel="0" collapsed="false">
      <c r="A66" s="24" t="s">
        <v>225</v>
      </c>
      <c r="B66" s="24"/>
      <c r="C66" s="9" t="s">
        <v>27</v>
      </c>
      <c r="D66" s="25" t="s">
        <v>226</v>
      </c>
      <c r="E66" s="9" t="s">
        <v>71</v>
      </c>
      <c r="F66" s="24" t="s">
        <v>77</v>
      </c>
      <c r="G66" s="9" t="s">
        <v>87</v>
      </c>
      <c r="H66" s="9" t="s">
        <v>88</v>
      </c>
      <c r="I66" s="26"/>
      <c r="J66" s="26"/>
      <c r="K66" s="26"/>
      <c r="L66" s="24" t="s">
        <v>220</v>
      </c>
      <c r="M66" s="24" t="s">
        <v>89</v>
      </c>
      <c r="N66" s="14"/>
      <c r="O66" s="14"/>
      <c r="P66" s="27" t="str">
        <f aca="false">IF(OR(N66="",O66=""),"",O66-N66)</f>
        <v/>
      </c>
      <c r="Q66" s="28" t="n">
        <f aca="false">IF(A66="","",COUNTIF($B$5:$B$500,A66))</f>
        <v>0</v>
      </c>
      <c r="R66" s="29" t="n">
        <f aca="false">IF(A66="","",IF(Q66&gt;0,COUNTIFS($B$5:$B$500,A66,$E$5:$E$500,"Done")/Q66,IF(E66="Done",1,0)))</f>
        <v>0</v>
      </c>
      <c r="S66" s="30" t="str">
        <f aca="true">IF(OR(A66="",E66="Done",J66=""),"",IF(J66&lt;TODAY(),"OVERDUE",IF(J66-TODAY()&lt;=7,"Due this week","")))</f>
        <v/>
      </c>
      <c r="T66" s="25"/>
    </row>
    <row r="67" customFormat="false" ht="15" hidden="false" customHeight="false" outlineLevel="0" collapsed="false">
      <c r="A67" s="24" t="s">
        <v>227</v>
      </c>
      <c r="B67" s="24"/>
      <c r="C67" s="9" t="s">
        <v>27</v>
      </c>
      <c r="D67" s="25" t="s">
        <v>228</v>
      </c>
      <c r="E67" s="9" t="s">
        <v>71</v>
      </c>
      <c r="F67" s="24" t="s">
        <v>77</v>
      </c>
      <c r="G67" s="9" t="s">
        <v>182</v>
      </c>
      <c r="H67" s="9" t="s">
        <v>115</v>
      </c>
      <c r="I67" s="26"/>
      <c r="J67" s="26"/>
      <c r="K67" s="26"/>
      <c r="L67" s="24" t="s">
        <v>229</v>
      </c>
      <c r="M67" s="24" t="s">
        <v>67</v>
      </c>
      <c r="N67" s="14"/>
      <c r="O67" s="14"/>
      <c r="P67" s="27" t="str">
        <f aca="false">IF(OR(N67="",O67=""),"",O67-N67)</f>
        <v/>
      </c>
      <c r="Q67" s="28" t="n">
        <f aca="false">IF(A67="","",COUNTIF($B$5:$B$500,A67))</f>
        <v>0</v>
      </c>
      <c r="R67" s="29" t="n">
        <f aca="false">IF(A67="","",IF(Q67&gt;0,COUNTIFS($B$5:$B$500,A67,$E$5:$E$500,"Done")/Q67,IF(E67="Done",1,0)))</f>
        <v>0</v>
      </c>
      <c r="S67" s="30" t="str">
        <f aca="true">IF(OR(A67="",E67="Done",J67=""),"",IF(J67&lt;TODAY(),"OVERDUE",IF(J67-TODAY()&lt;=7,"Due this week","")))</f>
        <v/>
      </c>
      <c r="T67" s="25"/>
    </row>
    <row r="68" customFormat="false" ht="15" hidden="false" customHeight="false" outlineLevel="0" collapsed="false">
      <c r="A68" s="24" t="s">
        <v>230</v>
      </c>
      <c r="B68" s="24"/>
      <c r="C68" s="9" t="s">
        <v>27</v>
      </c>
      <c r="D68" s="25" t="s">
        <v>231</v>
      </c>
      <c r="E68" s="9" t="s">
        <v>71</v>
      </c>
      <c r="F68" s="24" t="s">
        <v>77</v>
      </c>
      <c r="G68" s="9" t="s">
        <v>213</v>
      </c>
      <c r="H68" s="9" t="s">
        <v>115</v>
      </c>
      <c r="I68" s="26"/>
      <c r="J68" s="26"/>
      <c r="K68" s="26"/>
      <c r="L68" s="24" t="s">
        <v>227</v>
      </c>
      <c r="M68" s="24" t="s">
        <v>67</v>
      </c>
      <c r="N68" s="14"/>
      <c r="O68" s="14"/>
      <c r="P68" s="27" t="str">
        <f aca="false">IF(OR(N68="",O68=""),"",O68-N68)</f>
        <v/>
      </c>
      <c r="Q68" s="28" t="n">
        <f aca="false">IF(A68="","",COUNTIF($B$5:$B$500,A68))</f>
        <v>0</v>
      </c>
      <c r="R68" s="29" t="n">
        <f aca="false">IF(A68="","",IF(Q68&gt;0,COUNTIFS($B$5:$B$500,A68,$E$5:$E$500,"Done")/Q68,IF(E68="Done",1,0)))</f>
        <v>0</v>
      </c>
      <c r="S68" s="30" t="str">
        <f aca="true">IF(OR(A68="",E68="Done",J68=""),"",IF(J68&lt;TODAY(),"OVERDUE",IF(J68-TODAY()&lt;=7,"Due this week","")))</f>
        <v/>
      </c>
      <c r="T68" s="25"/>
    </row>
    <row r="69" customFormat="false" ht="15" hidden="false" customHeight="false" outlineLevel="0" collapsed="false">
      <c r="A69" s="24" t="s">
        <v>232</v>
      </c>
      <c r="B69" s="24"/>
      <c r="C69" s="9" t="s">
        <v>27</v>
      </c>
      <c r="D69" s="25" t="s">
        <v>233</v>
      </c>
      <c r="E69" s="9" t="s">
        <v>71</v>
      </c>
      <c r="F69" s="24" t="s">
        <v>77</v>
      </c>
      <c r="G69" s="9" t="s">
        <v>213</v>
      </c>
      <c r="H69" s="9" t="s">
        <v>115</v>
      </c>
      <c r="I69" s="26"/>
      <c r="J69" s="26"/>
      <c r="K69" s="26"/>
      <c r="L69" s="24" t="s">
        <v>230</v>
      </c>
      <c r="M69" s="24" t="s">
        <v>67</v>
      </c>
      <c r="N69" s="14"/>
      <c r="O69" s="14"/>
      <c r="P69" s="27" t="str">
        <f aca="false">IF(OR(N69="",O69=""),"",O69-N69)</f>
        <v/>
      </c>
      <c r="Q69" s="28" t="n">
        <f aca="false">IF(A69="","",COUNTIF($B$5:$B$500,A69))</f>
        <v>0</v>
      </c>
      <c r="R69" s="29" t="n">
        <f aca="false">IF(A69="","",IF(Q69&gt;0,COUNTIFS($B$5:$B$500,A69,$E$5:$E$500,"Done")/Q69,IF(E69="Done",1,0)))</f>
        <v>0</v>
      </c>
      <c r="S69" s="30" t="str">
        <f aca="true">IF(OR(A69="",E69="Done",J69=""),"",IF(J69&lt;TODAY(),"OVERDUE",IF(J69-TODAY()&lt;=7,"Due this week","")))</f>
        <v/>
      </c>
      <c r="T69" s="25"/>
    </row>
    <row r="70" customFormat="false" ht="15" hidden="false" customHeight="false" outlineLevel="0" collapsed="false">
      <c r="A70" s="24" t="s">
        <v>234</v>
      </c>
      <c r="B70" s="24"/>
      <c r="C70" s="9" t="s">
        <v>27</v>
      </c>
      <c r="D70" s="25" t="s">
        <v>235</v>
      </c>
      <c r="E70" s="9" t="s">
        <v>71</v>
      </c>
      <c r="F70" s="24" t="s">
        <v>77</v>
      </c>
      <c r="G70" s="9" t="s">
        <v>213</v>
      </c>
      <c r="H70" s="9" t="s">
        <v>115</v>
      </c>
      <c r="I70" s="26"/>
      <c r="J70" s="26"/>
      <c r="K70" s="26"/>
      <c r="L70" s="24" t="s">
        <v>232</v>
      </c>
      <c r="M70" s="24" t="s">
        <v>67</v>
      </c>
      <c r="N70" s="14"/>
      <c r="O70" s="14"/>
      <c r="P70" s="27" t="str">
        <f aca="false">IF(OR(N70="",O70=""),"",O70-N70)</f>
        <v/>
      </c>
      <c r="Q70" s="28" t="n">
        <f aca="false">IF(A70="","",COUNTIF($B$5:$B$500,A70))</f>
        <v>0</v>
      </c>
      <c r="R70" s="29" t="n">
        <f aca="false">IF(A70="","",IF(Q70&gt;0,COUNTIFS($B$5:$B$500,A70,$E$5:$E$500,"Done")/Q70,IF(E70="Done",1,0)))</f>
        <v>0</v>
      </c>
      <c r="S70" s="30" t="str">
        <f aca="true">IF(OR(A70="",E70="Done",J70=""),"",IF(J70&lt;TODAY(),"OVERDUE",IF(J70-TODAY()&lt;=7,"Due this week","")))</f>
        <v/>
      </c>
      <c r="T70" s="25"/>
    </row>
    <row r="71" customFormat="false" ht="15" hidden="false" customHeight="false" outlineLevel="0" collapsed="false">
      <c r="A71" s="24" t="s">
        <v>236</v>
      </c>
      <c r="B71" s="24"/>
      <c r="C71" s="9" t="s">
        <v>27</v>
      </c>
      <c r="D71" s="25" t="s">
        <v>237</v>
      </c>
      <c r="E71" s="9" t="s">
        <v>71</v>
      </c>
      <c r="F71" s="24" t="s">
        <v>77</v>
      </c>
      <c r="G71" s="9" t="s">
        <v>213</v>
      </c>
      <c r="H71" s="9" t="s">
        <v>115</v>
      </c>
      <c r="I71" s="26"/>
      <c r="J71" s="26"/>
      <c r="K71" s="26"/>
      <c r="L71" s="24" t="s">
        <v>234</v>
      </c>
      <c r="M71" s="24" t="s">
        <v>67</v>
      </c>
      <c r="N71" s="14"/>
      <c r="O71" s="14"/>
      <c r="P71" s="27" t="str">
        <f aca="false">IF(OR(N71="",O71=""),"",O71-N71)</f>
        <v/>
      </c>
      <c r="Q71" s="28" t="n">
        <f aca="false">IF(A71="","",COUNTIF($B$5:$B$500,A71))</f>
        <v>0</v>
      </c>
      <c r="R71" s="29" t="n">
        <f aca="false">IF(A71="","",IF(Q71&gt;0,COUNTIFS($B$5:$B$500,A71,$E$5:$E$500,"Done")/Q71,IF(E71="Done",1,0)))</f>
        <v>0</v>
      </c>
      <c r="S71" s="30" t="str">
        <f aca="true">IF(OR(A71="",E71="Done",J71=""),"",IF(J71&lt;TODAY(),"OVERDUE",IF(J71-TODAY()&lt;=7,"Due this week","")))</f>
        <v/>
      </c>
      <c r="T71" s="25"/>
    </row>
    <row r="72" customFormat="false" ht="15" hidden="false" customHeight="false" outlineLevel="0" collapsed="false">
      <c r="A72" s="24" t="s">
        <v>238</v>
      </c>
      <c r="B72" s="24"/>
      <c r="C72" s="9" t="s">
        <v>27</v>
      </c>
      <c r="D72" s="25" t="s">
        <v>239</v>
      </c>
      <c r="E72" s="9" t="s">
        <v>71</v>
      </c>
      <c r="F72" s="24" t="s">
        <v>77</v>
      </c>
      <c r="G72" s="9" t="s">
        <v>169</v>
      </c>
      <c r="H72" s="9" t="s">
        <v>224</v>
      </c>
      <c r="I72" s="26"/>
      <c r="J72" s="26"/>
      <c r="K72" s="26"/>
      <c r="L72" s="24" t="s">
        <v>234</v>
      </c>
      <c r="M72" s="24" t="s">
        <v>67</v>
      </c>
      <c r="N72" s="14"/>
      <c r="O72" s="14"/>
      <c r="P72" s="27" t="str">
        <f aca="false">IF(OR(N72="",O72=""),"",O72-N72)</f>
        <v/>
      </c>
      <c r="Q72" s="28" t="n">
        <f aca="false">IF(A72="","",COUNTIF($B$5:$B$500,A72))</f>
        <v>0</v>
      </c>
      <c r="R72" s="29" t="n">
        <f aca="false">IF(A72="","",IF(Q72&gt;0,COUNTIFS($B$5:$B$500,A72,$E$5:$E$500,"Done")/Q72,IF(E72="Done",1,0)))</f>
        <v>0</v>
      </c>
      <c r="S72" s="30" t="str">
        <f aca="true">IF(OR(A72="",E72="Done",J72=""),"",IF(J72&lt;TODAY(),"OVERDUE",IF(J72-TODAY()&lt;=7,"Due this week","")))</f>
        <v/>
      </c>
      <c r="T72" s="25"/>
    </row>
    <row r="73" customFormat="false" ht="15" hidden="false" customHeight="false" outlineLevel="0" collapsed="false">
      <c r="A73" s="24" t="s">
        <v>240</v>
      </c>
      <c r="B73" s="24"/>
      <c r="C73" s="9" t="s">
        <v>28</v>
      </c>
      <c r="D73" s="25" t="s">
        <v>241</v>
      </c>
      <c r="E73" s="9" t="s">
        <v>71</v>
      </c>
      <c r="F73" s="24" t="s">
        <v>77</v>
      </c>
      <c r="G73" s="9" t="s">
        <v>213</v>
      </c>
      <c r="H73" s="9" t="s">
        <v>66</v>
      </c>
      <c r="I73" s="26"/>
      <c r="J73" s="26"/>
      <c r="K73" s="26"/>
      <c r="L73" s="24"/>
      <c r="M73" s="24" t="s">
        <v>67</v>
      </c>
      <c r="N73" s="14"/>
      <c r="O73" s="14"/>
      <c r="P73" s="27" t="str">
        <f aca="false">IF(OR(N73="",O73=""),"",O73-N73)</f>
        <v/>
      </c>
      <c r="Q73" s="28" t="n">
        <f aca="false">IF(A73="","",COUNTIF($B$5:$B$500,A73))</f>
        <v>0</v>
      </c>
      <c r="R73" s="29" t="n">
        <f aca="false">IF(A73="","",IF(Q73&gt;0,COUNTIFS($B$5:$B$500,A73,$E$5:$E$500,"Done")/Q73,IF(E73="Done",1,0)))</f>
        <v>0</v>
      </c>
      <c r="S73" s="30" t="str">
        <f aca="true">IF(OR(A73="",E73="Done",J73=""),"",IF(J73&lt;TODAY(),"OVERDUE",IF(J73-TODAY()&lt;=7,"Due this week","")))</f>
        <v/>
      </c>
      <c r="T73" s="25"/>
    </row>
    <row r="74" customFormat="false" ht="15" hidden="false" customHeight="false" outlineLevel="0" collapsed="false">
      <c r="A74" s="24" t="s">
        <v>242</v>
      </c>
      <c r="B74" s="24"/>
      <c r="C74" s="9" t="s">
        <v>28</v>
      </c>
      <c r="D74" s="25" t="s">
        <v>243</v>
      </c>
      <c r="E74" s="9" t="s">
        <v>71</v>
      </c>
      <c r="F74" s="24" t="s">
        <v>77</v>
      </c>
      <c r="G74" s="9" t="s">
        <v>87</v>
      </c>
      <c r="H74" s="9" t="s">
        <v>224</v>
      </c>
      <c r="I74" s="26"/>
      <c r="J74" s="26"/>
      <c r="K74" s="26"/>
      <c r="L74" s="24" t="s">
        <v>240</v>
      </c>
      <c r="M74" s="24" t="s">
        <v>84</v>
      </c>
      <c r="N74" s="14"/>
      <c r="O74" s="14"/>
      <c r="P74" s="27" t="str">
        <f aca="false">IF(OR(N74="",O74=""),"",O74-N74)</f>
        <v/>
      </c>
      <c r="Q74" s="28" t="n">
        <f aca="false">IF(A74="","",COUNTIF($B$5:$B$500,A74))</f>
        <v>0</v>
      </c>
      <c r="R74" s="29" t="n">
        <f aca="false">IF(A74="","",IF(Q74&gt;0,COUNTIFS($B$5:$B$500,A74,$E$5:$E$500,"Done")/Q74,IF(E74="Done",1,0)))</f>
        <v>0</v>
      </c>
      <c r="S74" s="30" t="str">
        <f aca="true">IF(OR(A74="",E74="Done",J74=""),"",IF(J74&lt;TODAY(),"OVERDUE",IF(J74-TODAY()&lt;=7,"Due this week","")))</f>
        <v/>
      </c>
      <c r="T74" s="25"/>
    </row>
    <row r="75" customFormat="false" ht="15" hidden="false" customHeight="false" outlineLevel="0" collapsed="false">
      <c r="A75" s="24" t="s">
        <v>244</v>
      </c>
      <c r="B75" s="24"/>
      <c r="C75" s="9" t="s">
        <v>28</v>
      </c>
      <c r="D75" s="25" t="s">
        <v>245</v>
      </c>
      <c r="E75" s="9" t="s">
        <v>71</v>
      </c>
      <c r="F75" s="24" t="s">
        <v>77</v>
      </c>
      <c r="G75" s="9" t="s">
        <v>87</v>
      </c>
      <c r="H75" s="9" t="s">
        <v>88</v>
      </c>
      <c r="I75" s="26"/>
      <c r="J75" s="26"/>
      <c r="K75" s="26"/>
      <c r="L75" s="24" t="s">
        <v>240</v>
      </c>
      <c r="M75" s="24" t="s">
        <v>89</v>
      </c>
      <c r="N75" s="14"/>
      <c r="O75" s="14"/>
      <c r="P75" s="27" t="str">
        <f aca="false">IF(OR(N75="",O75=""),"",O75-N75)</f>
        <v/>
      </c>
      <c r="Q75" s="28" t="n">
        <f aca="false">IF(A75="","",COUNTIF($B$5:$B$500,A75))</f>
        <v>0</v>
      </c>
      <c r="R75" s="29" t="n">
        <f aca="false">IF(A75="","",IF(Q75&gt;0,COUNTIFS($B$5:$B$500,A75,$E$5:$E$500,"Done")/Q75,IF(E75="Done",1,0)))</f>
        <v>0</v>
      </c>
      <c r="S75" s="30" t="str">
        <f aca="true">IF(OR(A75="",E75="Done",J75=""),"",IF(J75&lt;TODAY(),"OVERDUE",IF(J75-TODAY()&lt;=7,"Due this week","")))</f>
        <v/>
      </c>
      <c r="T75" s="25"/>
    </row>
    <row r="76" customFormat="false" ht="15" hidden="false" customHeight="false" outlineLevel="0" collapsed="false">
      <c r="A76" s="24" t="s">
        <v>246</v>
      </c>
      <c r="B76" s="24"/>
      <c r="C76" s="9" t="s">
        <v>28</v>
      </c>
      <c r="D76" s="25" t="s">
        <v>247</v>
      </c>
      <c r="E76" s="9" t="s">
        <v>71</v>
      </c>
      <c r="F76" s="24" t="s">
        <v>77</v>
      </c>
      <c r="G76" s="9" t="s">
        <v>87</v>
      </c>
      <c r="H76" s="9" t="s">
        <v>115</v>
      </c>
      <c r="I76" s="26"/>
      <c r="J76" s="26"/>
      <c r="K76" s="26"/>
      <c r="L76" s="24" t="s">
        <v>240</v>
      </c>
      <c r="M76" s="24" t="s">
        <v>67</v>
      </c>
      <c r="N76" s="14"/>
      <c r="O76" s="14"/>
      <c r="P76" s="27" t="str">
        <f aca="false">IF(OR(N76="",O76=""),"",O76-N76)</f>
        <v/>
      </c>
      <c r="Q76" s="28" t="n">
        <f aca="false">IF(A76="","",COUNTIF($B$5:$B$500,A76))</f>
        <v>0</v>
      </c>
      <c r="R76" s="29" t="n">
        <f aca="false">IF(A76="","",IF(Q76&gt;0,COUNTIFS($B$5:$B$500,A76,$E$5:$E$500,"Done")/Q76,IF(E76="Done",1,0)))</f>
        <v>0</v>
      </c>
      <c r="S76" s="30" t="str">
        <f aca="true">IF(OR(A76="",E76="Done",J76=""),"",IF(J76&lt;TODAY(),"OVERDUE",IF(J76-TODAY()&lt;=7,"Due this week","")))</f>
        <v/>
      </c>
      <c r="T76" s="25"/>
    </row>
    <row r="77" customFormat="false" ht="15" hidden="false" customHeight="false" outlineLevel="0" collapsed="false">
      <c r="A77" s="24" t="s">
        <v>248</v>
      </c>
      <c r="B77" s="24"/>
      <c r="C77" s="9" t="s">
        <v>28</v>
      </c>
      <c r="D77" s="25" t="s">
        <v>231</v>
      </c>
      <c r="E77" s="9" t="s">
        <v>71</v>
      </c>
      <c r="F77" s="24" t="s">
        <v>77</v>
      </c>
      <c r="G77" s="9" t="s">
        <v>213</v>
      </c>
      <c r="H77" s="9" t="s">
        <v>115</v>
      </c>
      <c r="I77" s="26"/>
      <c r="J77" s="26"/>
      <c r="K77" s="26"/>
      <c r="L77" s="24" t="s">
        <v>249</v>
      </c>
      <c r="M77" s="24" t="s">
        <v>67</v>
      </c>
      <c r="N77" s="14"/>
      <c r="O77" s="14"/>
      <c r="P77" s="27" t="str">
        <f aca="false">IF(OR(N77="",O77=""),"",O77-N77)</f>
        <v/>
      </c>
      <c r="Q77" s="28" t="n">
        <f aca="false">IF(A77="","",COUNTIF($B$5:$B$500,A77))</f>
        <v>0</v>
      </c>
      <c r="R77" s="29" t="n">
        <f aca="false">IF(A77="","",IF(Q77&gt;0,COUNTIFS($B$5:$B$500,A77,$E$5:$E$500,"Done")/Q77,IF(E77="Done",1,0)))</f>
        <v>0</v>
      </c>
      <c r="S77" s="30" t="str">
        <f aca="true">IF(OR(A77="",E77="Done",J77=""),"",IF(J77&lt;TODAY(),"OVERDUE",IF(J77-TODAY()&lt;=7,"Due this week","")))</f>
        <v/>
      </c>
      <c r="T77" s="25"/>
    </row>
    <row r="78" customFormat="false" ht="15" hidden="false" customHeight="false" outlineLevel="0" collapsed="false">
      <c r="A78" s="24" t="s">
        <v>250</v>
      </c>
      <c r="B78" s="24"/>
      <c r="C78" s="9" t="s">
        <v>28</v>
      </c>
      <c r="D78" s="25" t="s">
        <v>251</v>
      </c>
      <c r="E78" s="9" t="s">
        <v>71</v>
      </c>
      <c r="F78" s="24" t="s">
        <v>77</v>
      </c>
      <c r="G78" s="9" t="s">
        <v>213</v>
      </c>
      <c r="H78" s="9" t="s">
        <v>115</v>
      </c>
      <c r="I78" s="26"/>
      <c r="J78" s="26"/>
      <c r="K78" s="26"/>
      <c r="L78" s="24" t="s">
        <v>248</v>
      </c>
      <c r="M78" s="24" t="s">
        <v>67</v>
      </c>
      <c r="N78" s="14"/>
      <c r="O78" s="14"/>
      <c r="P78" s="27" t="str">
        <f aca="false">IF(OR(N78="",O78=""),"",O78-N78)</f>
        <v/>
      </c>
      <c r="Q78" s="28" t="n">
        <f aca="false">IF(A78="","",COUNTIF($B$5:$B$500,A78))</f>
        <v>0</v>
      </c>
      <c r="R78" s="29" t="n">
        <f aca="false">IF(A78="","",IF(Q78&gt;0,COUNTIFS($B$5:$B$500,A78,$E$5:$E$500,"Done")/Q78,IF(E78="Done",1,0)))</f>
        <v>0</v>
      </c>
      <c r="S78" s="30" t="str">
        <f aca="true">IF(OR(A78="",E78="Done",J78=""),"",IF(J78&lt;TODAY(),"OVERDUE",IF(J78-TODAY()&lt;=7,"Due this week","")))</f>
        <v/>
      </c>
      <c r="T78" s="25"/>
    </row>
    <row r="79" customFormat="false" ht="15" hidden="false" customHeight="false" outlineLevel="0" collapsed="false">
      <c r="A79" s="24" t="s">
        <v>252</v>
      </c>
      <c r="B79" s="24"/>
      <c r="C79" s="9" t="s">
        <v>28</v>
      </c>
      <c r="D79" s="25" t="s">
        <v>253</v>
      </c>
      <c r="E79" s="9" t="s">
        <v>71</v>
      </c>
      <c r="F79" s="24" t="s">
        <v>77</v>
      </c>
      <c r="G79" s="9" t="s">
        <v>169</v>
      </c>
      <c r="H79" s="9" t="s">
        <v>66</v>
      </c>
      <c r="I79" s="26"/>
      <c r="J79" s="26"/>
      <c r="K79" s="26"/>
      <c r="L79" s="24" t="s">
        <v>250</v>
      </c>
      <c r="M79" s="24" t="s">
        <v>67</v>
      </c>
      <c r="N79" s="14"/>
      <c r="O79" s="14"/>
      <c r="P79" s="27" t="str">
        <f aca="false">IF(OR(N79="",O79=""),"",O79-N79)</f>
        <v/>
      </c>
      <c r="Q79" s="28" t="n">
        <f aca="false">IF(A79="","",COUNTIF($B$5:$B$500,A79))</f>
        <v>0</v>
      </c>
      <c r="R79" s="29" t="n">
        <f aca="false">IF(A79="","",IF(Q79&gt;0,COUNTIFS($B$5:$B$500,A79,$E$5:$E$500,"Done")/Q79,IF(E79="Done",1,0)))</f>
        <v>0</v>
      </c>
      <c r="S79" s="30" t="str">
        <f aca="true">IF(OR(A79="",E79="Done",J79=""),"",IF(J79&lt;TODAY(),"OVERDUE",IF(J79-TODAY()&lt;=7,"Due this week","")))</f>
        <v/>
      </c>
      <c r="T79" s="25"/>
    </row>
    <row r="80" customFormat="false" ht="15" hidden="false" customHeight="false" outlineLevel="0" collapsed="false">
      <c r="A80" s="24" t="s">
        <v>254</v>
      </c>
      <c r="B80" s="24"/>
      <c r="C80" s="9" t="s">
        <v>29</v>
      </c>
      <c r="D80" s="25" t="s">
        <v>255</v>
      </c>
      <c r="E80" s="9" t="s">
        <v>71</v>
      </c>
      <c r="F80" s="24" t="s">
        <v>77</v>
      </c>
      <c r="G80" s="9" t="s">
        <v>213</v>
      </c>
      <c r="H80" s="9" t="s">
        <v>66</v>
      </c>
      <c r="I80" s="26"/>
      <c r="J80" s="26"/>
      <c r="K80" s="26"/>
      <c r="L80" s="24"/>
      <c r="M80" s="24" t="s">
        <v>67</v>
      </c>
      <c r="N80" s="14"/>
      <c r="O80" s="14"/>
      <c r="P80" s="27" t="str">
        <f aca="false">IF(OR(N80="",O80=""),"",O80-N80)</f>
        <v/>
      </c>
      <c r="Q80" s="28" t="n">
        <f aca="false">IF(A80="","",COUNTIF($B$5:$B$500,A80))</f>
        <v>0</v>
      </c>
      <c r="R80" s="29" t="n">
        <f aca="false">IF(A80="","",IF(Q80&gt;0,COUNTIFS($B$5:$B$500,A80,$E$5:$E$500,"Done")/Q80,IF(E80="Done",1,0)))</f>
        <v>0</v>
      </c>
      <c r="S80" s="30" t="str">
        <f aca="true">IF(OR(A80="",E80="Done",J80=""),"",IF(J80&lt;TODAY(),"OVERDUE",IF(J80-TODAY()&lt;=7,"Due this week","")))</f>
        <v/>
      </c>
      <c r="T80" s="25"/>
    </row>
    <row r="81" customFormat="false" ht="15" hidden="false" customHeight="false" outlineLevel="0" collapsed="false">
      <c r="A81" s="24" t="s">
        <v>256</v>
      </c>
      <c r="B81" s="24"/>
      <c r="C81" s="9" t="s">
        <v>29</v>
      </c>
      <c r="D81" s="25" t="s">
        <v>221</v>
      </c>
      <c r="E81" s="9" t="s">
        <v>71</v>
      </c>
      <c r="F81" s="24" t="s">
        <v>77</v>
      </c>
      <c r="G81" s="9" t="s">
        <v>87</v>
      </c>
      <c r="H81" s="9" t="s">
        <v>115</v>
      </c>
      <c r="I81" s="26"/>
      <c r="J81" s="26"/>
      <c r="K81" s="26"/>
      <c r="L81" s="24" t="s">
        <v>254</v>
      </c>
      <c r="M81" s="24" t="s">
        <v>67</v>
      </c>
      <c r="N81" s="14"/>
      <c r="O81" s="14"/>
      <c r="P81" s="27" t="str">
        <f aca="false">IF(OR(N81="",O81=""),"",O81-N81)</f>
        <v/>
      </c>
      <c r="Q81" s="28" t="n">
        <f aca="false">IF(A81="","",COUNTIF($B$5:$B$500,A81))</f>
        <v>0</v>
      </c>
      <c r="R81" s="29" t="n">
        <f aca="false">IF(A81="","",IF(Q81&gt;0,COUNTIFS($B$5:$B$500,A81,$E$5:$E$500,"Done")/Q81,IF(E81="Done",1,0)))</f>
        <v>0</v>
      </c>
      <c r="S81" s="30" t="str">
        <f aca="true">IF(OR(A81="",E81="Done",J81=""),"",IF(J81&lt;TODAY(),"OVERDUE",IF(J81-TODAY()&lt;=7,"Due this week","")))</f>
        <v/>
      </c>
      <c r="T81" s="25"/>
    </row>
    <row r="82" customFormat="false" ht="15" hidden="false" customHeight="false" outlineLevel="0" collapsed="false">
      <c r="A82" s="24" t="s">
        <v>257</v>
      </c>
      <c r="B82" s="24"/>
      <c r="C82" s="9" t="s">
        <v>29</v>
      </c>
      <c r="D82" s="25" t="s">
        <v>258</v>
      </c>
      <c r="E82" s="9" t="s">
        <v>71</v>
      </c>
      <c r="F82" s="24" t="s">
        <v>77</v>
      </c>
      <c r="G82" s="9" t="s">
        <v>87</v>
      </c>
      <c r="H82" s="9" t="s">
        <v>224</v>
      </c>
      <c r="I82" s="26"/>
      <c r="J82" s="26"/>
      <c r="K82" s="26"/>
      <c r="L82" s="24" t="s">
        <v>256</v>
      </c>
      <c r="M82" s="24" t="s">
        <v>84</v>
      </c>
      <c r="N82" s="14"/>
      <c r="O82" s="14"/>
      <c r="P82" s="27" t="str">
        <f aca="false">IF(OR(N82="",O82=""),"",O82-N82)</f>
        <v/>
      </c>
      <c r="Q82" s="28" t="n">
        <f aca="false">IF(A82="","",COUNTIF($B$5:$B$500,A82))</f>
        <v>0</v>
      </c>
      <c r="R82" s="29" t="n">
        <f aca="false">IF(A82="","",IF(Q82&gt;0,COUNTIFS($B$5:$B$500,A82,$E$5:$E$500,"Done")/Q82,IF(E82="Done",1,0)))</f>
        <v>0</v>
      </c>
      <c r="S82" s="30" t="str">
        <f aca="true">IF(OR(A82="",E82="Done",J82=""),"",IF(J82&lt;TODAY(),"OVERDUE",IF(J82-TODAY()&lt;=7,"Due this week","")))</f>
        <v/>
      </c>
      <c r="T82" s="25"/>
    </row>
    <row r="83" customFormat="false" ht="15" hidden="false" customHeight="false" outlineLevel="0" collapsed="false">
      <c r="A83" s="24" t="s">
        <v>259</v>
      </c>
      <c r="B83" s="24"/>
      <c r="C83" s="9" t="s">
        <v>29</v>
      </c>
      <c r="D83" s="25" t="s">
        <v>260</v>
      </c>
      <c r="E83" s="9" t="s">
        <v>71</v>
      </c>
      <c r="F83" s="24" t="s">
        <v>77</v>
      </c>
      <c r="G83" s="9" t="s">
        <v>87</v>
      </c>
      <c r="H83" s="9" t="s">
        <v>88</v>
      </c>
      <c r="I83" s="26"/>
      <c r="J83" s="26"/>
      <c r="K83" s="26"/>
      <c r="L83" s="24" t="s">
        <v>256</v>
      </c>
      <c r="M83" s="24" t="s">
        <v>89</v>
      </c>
      <c r="N83" s="14"/>
      <c r="O83" s="14"/>
      <c r="P83" s="27" t="str">
        <f aca="false">IF(OR(N83="",O83=""),"",O83-N83)</f>
        <v/>
      </c>
      <c r="Q83" s="28" t="n">
        <f aca="false">IF(A83="","",COUNTIF($B$5:$B$500,A83))</f>
        <v>0</v>
      </c>
      <c r="R83" s="29" t="n">
        <f aca="false">IF(A83="","",IF(Q83&gt;0,COUNTIFS($B$5:$B$500,A83,$E$5:$E$500,"Done")/Q83,IF(E83="Done",1,0)))</f>
        <v>0</v>
      </c>
      <c r="S83" s="30" t="str">
        <f aca="true">IF(OR(A83="",E83="Done",J83=""),"",IF(J83&lt;TODAY(),"OVERDUE",IF(J83-TODAY()&lt;=7,"Due this week","")))</f>
        <v/>
      </c>
      <c r="T83" s="25"/>
    </row>
    <row r="84" customFormat="false" ht="15" hidden="false" customHeight="false" outlineLevel="0" collapsed="false">
      <c r="A84" s="24" t="s">
        <v>261</v>
      </c>
      <c r="B84" s="24"/>
      <c r="C84" s="9" t="s">
        <v>29</v>
      </c>
      <c r="D84" s="25" t="s">
        <v>262</v>
      </c>
      <c r="E84" s="9" t="s">
        <v>71</v>
      </c>
      <c r="F84" s="24" t="s">
        <v>77</v>
      </c>
      <c r="G84" s="9" t="s">
        <v>182</v>
      </c>
      <c r="H84" s="9" t="s">
        <v>115</v>
      </c>
      <c r="I84" s="26"/>
      <c r="J84" s="26"/>
      <c r="K84" s="26"/>
      <c r="L84" s="24" t="s">
        <v>257</v>
      </c>
      <c r="M84" s="24" t="s">
        <v>67</v>
      </c>
      <c r="N84" s="14"/>
      <c r="O84" s="14"/>
      <c r="P84" s="27" t="str">
        <f aca="false">IF(OR(N84="",O84=""),"",O84-N84)</f>
        <v/>
      </c>
      <c r="Q84" s="28" t="n">
        <f aca="false">IF(A84="","",COUNTIF($B$5:$B$500,A84))</f>
        <v>0</v>
      </c>
      <c r="R84" s="29" t="n">
        <f aca="false">IF(A84="","",IF(Q84&gt;0,COUNTIFS($B$5:$B$500,A84,$E$5:$E$500,"Done")/Q84,IF(E84="Done",1,0)))</f>
        <v>0</v>
      </c>
      <c r="S84" s="30" t="str">
        <f aca="true">IF(OR(A84="",E84="Done",J84=""),"",IF(J84&lt;TODAY(),"OVERDUE",IF(J84-TODAY()&lt;=7,"Due this week","")))</f>
        <v/>
      </c>
      <c r="T84" s="25"/>
    </row>
    <row r="85" customFormat="false" ht="15" hidden="false" customHeight="false" outlineLevel="0" collapsed="false">
      <c r="A85" s="24" t="s">
        <v>263</v>
      </c>
      <c r="B85" s="24"/>
      <c r="C85" s="9" t="s">
        <v>29</v>
      </c>
      <c r="D85" s="25" t="s">
        <v>264</v>
      </c>
      <c r="E85" s="9" t="s">
        <v>71</v>
      </c>
      <c r="F85" s="24" t="s">
        <v>77</v>
      </c>
      <c r="G85" s="9" t="s">
        <v>213</v>
      </c>
      <c r="H85" s="9" t="s">
        <v>115</v>
      </c>
      <c r="I85" s="26"/>
      <c r="J85" s="26"/>
      <c r="K85" s="26"/>
      <c r="L85" s="24" t="s">
        <v>261</v>
      </c>
      <c r="M85" s="24" t="s">
        <v>67</v>
      </c>
      <c r="N85" s="14"/>
      <c r="O85" s="14"/>
      <c r="P85" s="27" t="str">
        <f aca="false">IF(OR(N85="",O85=""),"",O85-N85)</f>
        <v/>
      </c>
      <c r="Q85" s="28" t="n">
        <f aca="false">IF(A85="","",COUNTIF($B$5:$B$500,A85))</f>
        <v>0</v>
      </c>
      <c r="R85" s="29" t="n">
        <f aca="false">IF(A85="","",IF(Q85&gt;0,COUNTIFS($B$5:$B$500,A85,$E$5:$E$500,"Done")/Q85,IF(E85="Done",1,0)))</f>
        <v>0</v>
      </c>
      <c r="S85" s="30" t="str">
        <f aca="true">IF(OR(A85="",E85="Done",J85=""),"",IF(J85&lt;TODAY(),"OVERDUE",IF(J85-TODAY()&lt;=7,"Due this week","")))</f>
        <v/>
      </c>
      <c r="T85" s="25"/>
    </row>
    <row r="86" customFormat="false" ht="15" hidden="false" customHeight="false" outlineLevel="0" collapsed="false">
      <c r="A86" s="24" t="s">
        <v>265</v>
      </c>
      <c r="B86" s="24"/>
      <c r="C86" s="9" t="s">
        <v>29</v>
      </c>
      <c r="D86" s="25" t="s">
        <v>266</v>
      </c>
      <c r="E86" s="9" t="s">
        <v>71</v>
      </c>
      <c r="F86" s="24" t="s">
        <v>77</v>
      </c>
      <c r="G86" s="9" t="s">
        <v>169</v>
      </c>
      <c r="H86" s="9" t="s">
        <v>224</v>
      </c>
      <c r="I86" s="26"/>
      <c r="J86" s="26"/>
      <c r="K86" s="26"/>
      <c r="L86" s="24" t="s">
        <v>263</v>
      </c>
      <c r="M86" s="24" t="s">
        <v>67</v>
      </c>
      <c r="N86" s="14"/>
      <c r="O86" s="14"/>
      <c r="P86" s="27" t="str">
        <f aca="false">IF(OR(N86="",O86=""),"",O86-N86)</f>
        <v/>
      </c>
      <c r="Q86" s="28" t="n">
        <f aca="false">IF(A86="","",COUNTIF($B$5:$B$500,A86))</f>
        <v>0</v>
      </c>
      <c r="R86" s="29" t="n">
        <f aca="false">IF(A86="","",IF(Q86&gt;0,COUNTIFS($B$5:$B$500,A86,$E$5:$E$500,"Done")/Q86,IF(E86="Done",1,0)))</f>
        <v>0</v>
      </c>
      <c r="S86" s="30" t="str">
        <f aca="true">IF(OR(A86="",E86="Done",J86=""),"",IF(J86&lt;TODAY(),"OVERDUE",IF(J86-TODAY()&lt;=7,"Due this week","")))</f>
        <v/>
      </c>
      <c r="T86" s="25"/>
    </row>
    <row r="87" customFormat="false" ht="15" hidden="false" customHeight="false" outlineLevel="0" collapsed="false">
      <c r="A87" s="24" t="s">
        <v>267</v>
      </c>
      <c r="B87" s="24"/>
      <c r="C87" s="9" t="s">
        <v>29</v>
      </c>
      <c r="D87" s="25" t="s">
        <v>268</v>
      </c>
      <c r="E87" s="9" t="s">
        <v>71</v>
      </c>
      <c r="F87" s="24" t="s">
        <v>77</v>
      </c>
      <c r="G87" s="9" t="s">
        <v>169</v>
      </c>
      <c r="H87" s="9" t="s">
        <v>66</v>
      </c>
      <c r="I87" s="26"/>
      <c r="J87" s="26"/>
      <c r="K87" s="26"/>
      <c r="L87" s="24" t="s">
        <v>265</v>
      </c>
      <c r="M87" s="24" t="s">
        <v>67</v>
      </c>
      <c r="N87" s="14"/>
      <c r="O87" s="14"/>
      <c r="P87" s="27" t="str">
        <f aca="false">IF(OR(N87="",O87=""),"",O87-N87)</f>
        <v/>
      </c>
      <c r="Q87" s="28" t="n">
        <f aca="false">IF(A87="","",COUNTIF($B$5:$B$500,A87))</f>
        <v>0</v>
      </c>
      <c r="R87" s="29" t="n">
        <f aca="false">IF(A87="","",IF(Q87&gt;0,COUNTIFS($B$5:$B$500,A87,$E$5:$E$500,"Done")/Q87,IF(E87="Done",1,0)))</f>
        <v>0</v>
      </c>
      <c r="S87" s="30" t="str">
        <f aca="true">IF(OR(A87="",E87="Done",J87=""),"",IF(J87&lt;TODAY(),"OVERDUE",IF(J87-TODAY()&lt;=7,"Due this week","")))</f>
        <v/>
      </c>
      <c r="T87" s="25"/>
    </row>
    <row r="88" customFormat="false" ht="15" hidden="false" customHeight="false" outlineLevel="0" collapsed="false">
      <c r="A88" s="24" t="s">
        <v>269</v>
      </c>
      <c r="B88" s="24"/>
      <c r="C88" s="9" t="s">
        <v>30</v>
      </c>
      <c r="D88" s="25" t="s">
        <v>255</v>
      </c>
      <c r="E88" s="9" t="s">
        <v>71</v>
      </c>
      <c r="F88" s="24" t="s">
        <v>77</v>
      </c>
      <c r="G88" s="9" t="s">
        <v>213</v>
      </c>
      <c r="H88" s="9" t="s">
        <v>66</v>
      </c>
      <c r="I88" s="26"/>
      <c r="J88" s="26"/>
      <c r="K88" s="26"/>
      <c r="L88" s="24"/>
      <c r="M88" s="24" t="s">
        <v>67</v>
      </c>
      <c r="N88" s="14"/>
      <c r="O88" s="14"/>
      <c r="P88" s="27" t="str">
        <f aca="false">IF(OR(N88="",O88=""),"",O88-N88)</f>
        <v/>
      </c>
      <c r="Q88" s="28" t="n">
        <f aca="false">IF(A88="","",COUNTIF($B$5:$B$500,A88))</f>
        <v>0</v>
      </c>
      <c r="R88" s="29" t="n">
        <f aca="false">IF(A88="","",IF(Q88&gt;0,COUNTIFS($B$5:$B$500,A88,$E$5:$E$500,"Done")/Q88,IF(E88="Done",1,0)))</f>
        <v>0</v>
      </c>
      <c r="S88" s="30" t="str">
        <f aca="true">IF(OR(A88="",E88="Done",J88=""),"",IF(J88&lt;TODAY(),"OVERDUE",IF(J88-TODAY()&lt;=7,"Due this week","")))</f>
        <v/>
      </c>
      <c r="T88" s="25"/>
    </row>
    <row r="89" customFormat="false" ht="15" hidden="false" customHeight="false" outlineLevel="0" collapsed="false">
      <c r="A89" s="24" t="s">
        <v>270</v>
      </c>
      <c r="B89" s="24"/>
      <c r="C89" s="9" t="s">
        <v>30</v>
      </c>
      <c r="D89" s="25" t="s">
        <v>221</v>
      </c>
      <c r="E89" s="9" t="s">
        <v>71</v>
      </c>
      <c r="F89" s="24" t="s">
        <v>77</v>
      </c>
      <c r="G89" s="9" t="s">
        <v>87</v>
      </c>
      <c r="H89" s="9" t="s">
        <v>115</v>
      </c>
      <c r="I89" s="26"/>
      <c r="J89" s="26"/>
      <c r="K89" s="26"/>
      <c r="L89" s="24" t="s">
        <v>269</v>
      </c>
      <c r="M89" s="24" t="s">
        <v>67</v>
      </c>
      <c r="N89" s="14"/>
      <c r="O89" s="14"/>
      <c r="P89" s="27" t="str">
        <f aca="false">IF(OR(N89="",O89=""),"",O89-N89)</f>
        <v/>
      </c>
      <c r="Q89" s="28" t="n">
        <f aca="false">IF(A89="","",COUNTIF($B$5:$B$500,A89))</f>
        <v>0</v>
      </c>
      <c r="R89" s="29" t="n">
        <f aca="false">IF(A89="","",IF(Q89&gt;0,COUNTIFS($B$5:$B$500,A89,$E$5:$E$500,"Done")/Q89,IF(E89="Done",1,0)))</f>
        <v>0</v>
      </c>
      <c r="S89" s="30" t="str">
        <f aca="true">IF(OR(A89="",E89="Done",J89=""),"",IF(J89&lt;TODAY(),"OVERDUE",IF(J89-TODAY()&lt;=7,"Due this week","")))</f>
        <v/>
      </c>
      <c r="T89" s="25"/>
    </row>
    <row r="90" customFormat="false" ht="15" hidden="false" customHeight="false" outlineLevel="0" collapsed="false">
      <c r="A90" s="24" t="s">
        <v>271</v>
      </c>
      <c r="B90" s="24"/>
      <c r="C90" s="9" t="s">
        <v>30</v>
      </c>
      <c r="D90" s="25" t="s">
        <v>258</v>
      </c>
      <c r="E90" s="9" t="s">
        <v>71</v>
      </c>
      <c r="F90" s="24" t="s">
        <v>77</v>
      </c>
      <c r="G90" s="9" t="s">
        <v>87</v>
      </c>
      <c r="H90" s="9" t="s">
        <v>224</v>
      </c>
      <c r="I90" s="26"/>
      <c r="J90" s="26"/>
      <c r="K90" s="26"/>
      <c r="L90" s="24" t="s">
        <v>270</v>
      </c>
      <c r="M90" s="24" t="s">
        <v>84</v>
      </c>
      <c r="N90" s="14"/>
      <c r="O90" s="14"/>
      <c r="P90" s="27" t="str">
        <f aca="false">IF(OR(N90="",O90=""),"",O90-N90)</f>
        <v/>
      </c>
      <c r="Q90" s="28" t="n">
        <f aca="false">IF(A90="","",COUNTIF($B$5:$B$500,A90))</f>
        <v>0</v>
      </c>
      <c r="R90" s="29" t="n">
        <f aca="false">IF(A90="","",IF(Q90&gt;0,COUNTIFS($B$5:$B$500,A90,$E$5:$E$500,"Done")/Q90,IF(E90="Done",1,0)))</f>
        <v>0</v>
      </c>
      <c r="S90" s="30" t="str">
        <f aca="true">IF(OR(A90="",E90="Done",J90=""),"",IF(J90&lt;TODAY(),"OVERDUE",IF(J90-TODAY()&lt;=7,"Due this week","")))</f>
        <v/>
      </c>
      <c r="T90" s="25"/>
    </row>
    <row r="91" customFormat="false" ht="15" hidden="false" customHeight="false" outlineLevel="0" collapsed="false">
      <c r="A91" s="24" t="s">
        <v>272</v>
      </c>
      <c r="B91" s="24"/>
      <c r="C91" s="9" t="s">
        <v>30</v>
      </c>
      <c r="D91" s="25" t="s">
        <v>260</v>
      </c>
      <c r="E91" s="9" t="s">
        <v>71</v>
      </c>
      <c r="F91" s="24" t="s">
        <v>77</v>
      </c>
      <c r="G91" s="9" t="s">
        <v>87</v>
      </c>
      <c r="H91" s="9" t="s">
        <v>88</v>
      </c>
      <c r="I91" s="26"/>
      <c r="J91" s="26"/>
      <c r="K91" s="26"/>
      <c r="L91" s="24" t="s">
        <v>270</v>
      </c>
      <c r="M91" s="24" t="s">
        <v>89</v>
      </c>
      <c r="N91" s="14"/>
      <c r="O91" s="14"/>
      <c r="P91" s="27" t="str">
        <f aca="false">IF(OR(N91="",O91=""),"",O91-N91)</f>
        <v/>
      </c>
      <c r="Q91" s="28" t="n">
        <f aca="false">IF(A91="","",COUNTIF($B$5:$B$500,A91))</f>
        <v>0</v>
      </c>
      <c r="R91" s="29" t="n">
        <f aca="false">IF(A91="","",IF(Q91&gt;0,COUNTIFS($B$5:$B$500,A91,$E$5:$E$500,"Done")/Q91,IF(E91="Done",1,0)))</f>
        <v>0</v>
      </c>
      <c r="S91" s="30" t="str">
        <f aca="true">IF(OR(A91="",E91="Done",J91=""),"",IF(J91&lt;TODAY(),"OVERDUE",IF(J91-TODAY()&lt;=7,"Due this week","")))</f>
        <v/>
      </c>
      <c r="T91" s="25"/>
    </row>
    <row r="92" customFormat="false" ht="15" hidden="false" customHeight="false" outlineLevel="0" collapsed="false">
      <c r="A92" s="24" t="s">
        <v>273</v>
      </c>
      <c r="B92" s="24"/>
      <c r="C92" s="9" t="s">
        <v>30</v>
      </c>
      <c r="D92" s="25" t="s">
        <v>262</v>
      </c>
      <c r="E92" s="9" t="s">
        <v>71</v>
      </c>
      <c r="F92" s="24" t="s">
        <v>77</v>
      </c>
      <c r="G92" s="9" t="s">
        <v>182</v>
      </c>
      <c r="H92" s="9" t="s">
        <v>115</v>
      </c>
      <c r="I92" s="26"/>
      <c r="J92" s="26"/>
      <c r="K92" s="26"/>
      <c r="L92" s="24" t="s">
        <v>271</v>
      </c>
      <c r="M92" s="24" t="s">
        <v>67</v>
      </c>
      <c r="N92" s="14"/>
      <c r="O92" s="14"/>
      <c r="P92" s="27" t="str">
        <f aca="false">IF(OR(N92="",O92=""),"",O92-N92)</f>
        <v/>
      </c>
      <c r="Q92" s="28" t="n">
        <f aca="false">IF(A92="","",COUNTIF($B$5:$B$500,A92))</f>
        <v>0</v>
      </c>
      <c r="R92" s="29" t="n">
        <f aca="false">IF(A92="","",IF(Q92&gt;0,COUNTIFS($B$5:$B$500,A92,$E$5:$E$500,"Done")/Q92,IF(E92="Done",1,0)))</f>
        <v>0</v>
      </c>
      <c r="S92" s="30" t="str">
        <f aca="true">IF(OR(A92="",E92="Done",J92=""),"",IF(J92&lt;TODAY(),"OVERDUE",IF(J92-TODAY()&lt;=7,"Due this week","")))</f>
        <v/>
      </c>
      <c r="T92" s="25"/>
    </row>
    <row r="93" customFormat="false" ht="15" hidden="false" customHeight="false" outlineLevel="0" collapsed="false">
      <c r="A93" s="24" t="s">
        <v>274</v>
      </c>
      <c r="B93" s="24"/>
      <c r="C93" s="9" t="s">
        <v>30</v>
      </c>
      <c r="D93" s="25" t="s">
        <v>264</v>
      </c>
      <c r="E93" s="9" t="s">
        <v>71</v>
      </c>
      <c r="F93" s="24" t="s">
        <v>77</v>
      </c>
      <c r="G93" s="9" t="s">
        <v>213</v>
      </c>
      <c r="H93" s="9" t="s">
        <v>115</v>
      </c>
      <c r="I93" s="26"/>
      <c r="J93" s="26"/>
      <c r="K93" s="26"/>
      <c r="L93" s="24" t="s">
        <v>273</v>
      </c>
      <c r="M93" s="24" t="s">
        <v>67</v>
      </c>
      <c r="N93" s="14"/>
      <c r="O93" s="14"/>
      <c r="P93" s="27" t="str">
        <f aca="false">IF(OR(N93="",O93=""),"",O93-N93)</f>
        <v/>
      </c>
      <c r="Q93" s="28" t="n">
        <f aca="false">IF(A93="","",COUNTIF($B$5:$B$500,A93))</f>
        <v>0</v>
      </c>
      <c r="R93" s="29" t="n">
        <f aca="false">IF(A93="","",IF(Q93&gt;0,COUNTIFS($B$5:$B$500,A93,$E$5:$E$500,"Done")/Q93,IF(E93="Done",1,0)))</f>
        <v>0</v>
      </c>
      <c r="S93" s="30" t="str">
        <f aca="true">IF(OR(A93="",E93="Done",J93=""),"",IF(J93&lt;TODAY(),"OVERDUE",IF(J93-TODAY()&lt;=7,"Due this week","")))</f>
        <v/>
      </c>
      <c r="T93" s="25"/>
    </row>
    <row r="94" customFormat="false" ht="15" hidden="false" customHeight="false" outlineLevel="0" collapsed="false">
      <c r="A94" s="24" t="s">
        <v>275</v>
      </c>
      <c r="B94" s="24"/>
      <c r="C94" s="9" t="s">
        <v>30</v>
      </c>
      <c r="D94" s="25" t="s">
        <v>266</v>
      </c>
      <c r="E94" s="9" t="s">
        <v>71</v>
      </c>
      <c r="F94" s="24" t="s">
        <v>77</v>
      </c>
      <c r="G94" s="9" t="s">
        <v>169</v>
      </c>
      <c r="H94" s="9" t="s">
        <v>224</v>
      </c>
      <c r="I94" s="26"/>
      <c r="J94" s="26"/>
      <c r="K94" s="26"/>
      <c r="L94" s="24" t="s">
        <v>274</v>
      </c>
      <c r="M94" s="24" t="s">
        <v>67</v>
      </c>
      <c r="N94" s="14"/>
      <c r="O94" s="14"/>
      <c r="P94" s="27" t="str">
        <f aca="false">IF(OR(N94="",O94=""),"",O94-N94)</f>
        <v/>
      </c>
      <c r="Q94" s="28" t="n">
        <f aca="false">IF(A94="","",COUNTIF($B$5:$B$500,A94))</f>
        <v>0</v>
      </c>
      <c r="R94" s="29" t="n">
        <f aca="false">IF(A94="","",IF(Q94&gt;0,COUNTIFS($B$5:$B$500,A94,$E$5:$E$500,"Done")/Q94,IF(E94="Done",1,0)))</f>
        <v>0</v>
      </c>
      <c r="S94" s="30" t="str">
        <f aca="true">IF(OR(A94="",E94="Done",J94=""),"",IF(J94&lt;TODAY(),"OVERDUE",IF(J94-TODAY()&lt;=7,"Due this week","")))</f>
        <v/>
      </c>
      <c r="T94" s="25"/>
    </row>
    <row r="95" customFormat="false" ht="15" hidden="false" customHeight="false" outlineLevel="0" collapsed="false">
      <c r="A95" s="24" t="s">
        <v>276</v>
      </c>
      <c r="B95" s="24"/>
      <c r="C95" s="9" t="s">
        <v>30</v>
      </c>
      <c r="D95" s="25" t="s">
        <v>268</v>
      </c>
      <c r="E95" s="9" t="s">
        <v>71</v>
      </c>
      <c r="F95" s="24" t="s">
        <v>77</v>
      </c>
      <c r="G95" s="9" t="s">
        <v>169</v>
      </c>
      <c r="H95" s="9" t="s">
        <v>66</v>
      </c>
      <c r="I95" s="26"/>
      <c r="J95" s="26"/>
      <c r="K95" s="26"/>
      <c r="L95" s="24" t="s">
        <v>275</v>
      </c>
      <c r="M95" s="24" t="s">
        <v>67</v>
      </c>
      <c r="N95" s="14"/>
      <c r="O95" s="14"/>
      <c r="P95" s="27" t="str">
        <f aca="false">IF(OR(N95="",O95=""),"",O95-N95)</f>
        <v/>
      </c>
      <c r="Q95" s="28" t="n">
        <f aca="false">IF(A95="","",COUNTIF($B$5:$B$500,A95))</f>
        <v>0</v>
      </c>
      <c r="R95" s="29" t="n">
        <f aca="false">IF(A95="","",IF(Q95&gt;0,COUNTIFS($B$5:$B$500,A95,$E$5:$E$500,"Done")/Q95,IF(E95="Done",1,0)))</f>
        <v>0</v>
      </c>
      <c r="S95" s="30" t="str">
        <f aca="true">IF(OR(A95="",E95="Done",J95=""),"",IF(J95&lt;TODAY(),"OVERDUE",IF(J95-TODAY()&lt;=7,"Due this week","")))</f>
        <v/>
      </c>
      <c r="T95" s="25"/>
    </row>
    <row r="96" customFormat="false" ht="15" hidden="false" customHeight="false" outlineLevel="0" collapsed="false">
      <c r="A96" s="24" t="s">
        <v>277</v>
      </c>
      <c r="B96" s="24"/>
      <c r="C96" s="9" t="s">
        <v>31</v>
      </c>
      <c r="D96" s="25" t="s">
        <v>278</v>
      </c>
      <c r="E96" s="9" t="s">
        <v>71</v>
      </c>
      <c r="F96" s="24" t="s">
        <v>166</v>
      </c>
      <c r="G96" s="9" t="s">
        <v>279</v>
      </c>
      <c r="H96" s="9" t="s">
        <v>66</v>
      </c>
      <c r="I96" s="26"/>
      <c r="J96" s="26"/>
      <c r="K96" s="26"/>
      <c r="L96" s="24"/>
      <c r="M96" s="24" t="s">
        <v>67</v>
      </c>
      <c r="N96" s="14"/>
      <c r="O96" s="14"/>
      <c r="P96" s="27" t="str">
        <f aca="false">IF(OR(N96="",O96=""),"",O96-N96)</f>
        <v/>
      </c>
      <c r="Q96" s="28" t="n">
        <f aca="false">IF(A96="","",COUNTIF($B$5:$B$500,A96))</f>
        <v>0</v>
      </c>
      <c r="R96" s="29" t="n">
        <f aca="false">IF(A96="","",IF(Q96&gt;0,COUNTIFS($B$5:$B$500,A96,$E$5:$E$500,"Done")/Q96,IF(E96="Done",1,0)))</f>
        <v>0</v>
      </c>
      <c r="S96" s="30" t="str">
        <f aca="true">IF(OR(A96="",E96="Done",J96=""),"",IF(J96&lt;TODAY(),"OVERDUE",IF(J96-TODAY()&lt;=7,"Due this week","")))</f>
        <v/>
      </c>
      <c r="T96" s="25"/>
    </row>
    <row r="97" customFormat="false" ht="15" hidden="false" customHeight="false" outlineLevel="0" collapsed="false">
      <c r="A97" s="24" t="s">
        <v>280</v>
      </c>
      <c r="B97" s="24"/>
      <c r="C97" s="9" t="s">
        <v>31</v>
      </c>
      <c r="D97" s="25" t="s">
        <v>281</v>
      </c>
      <c r="E97" s="9" t="s">
        <v>71</v>
      </c>
      <c r="F97" s="24" t="s">
        <v>166</v>
      </c>
      <c r="G97" s="9" t="s">
        <v>279</v>
      </c>
      <c r="H97" s="9" t="s">
        <v>66</v>
      </c>
      <c r="I97" s="26"/>
      <c r="J97" s="26"/>
      <c r="K97" s="26"/>
      <c r="L97" s="24"/>
      <c r="M97" s="24" t="s">
        <v>67</v>
      </c>
      <c r="N97" s="14"/>
      <c r="O97" s="14"/>
      <c r="P97" s="27" t="str">
        <f aca="false">IF(OR(N97="",O97=""),"",O97-N97)</f>
        <v/>
      </c>
      <c r="Q97" s="28" t="n">
        <f aca="false">IF(A97="","",COUNTIF($B$5:$B$500,A97))</f>
        <v>0</v>
      </c>
      <c r="R97" s="29" t="n">
        <f aca="false">IF(A97="","",IF(Q97&gt;0,COUNTIFS($B$5:$B$500,A97,$E$5:$E$500,"Done")/Q97,IF(E97="Done",1,0)))</f>
        <v>0</v>
      </c>
      <c r="S97" s="30" t="str">
        <f aca="true">IF(OR(A97="",E97="Done",J97=""),"",IF(J97&lt;TODAY(),"OVERDUE",IF(J97-TODAY()&lt;=7,"Due this week","")))</f>
        <v/>
      </c>
      <c r="T97" s="25"/>
    </row>
    <row r="98" customFormat="false" ht="15" hidden="false" customHeight="false" outlineLevel="0" collapsed="false">
      <c r="A98" s="24" t="s">
        <v>282</v>
      </c>
      <c r="B98" s="24"/>
      <c r="C98" s="9" t="s">
        <v>31</v>
      </c>
      <c r="D98" s="25" t="s">
        <v>283</v>
      </c>
      <c r="E98" s="9" t="s">
        <v>71</v>
      </c>
      <c r="F98" s="24" t="s">
        <v>166</v>
      </c>
      <c r="G98" s="9" t="s">
        <v>279</v>
      </c>
      <c r="H98" s="9" t="s">
        <v>66</v>
      </c>
      <c r="I98" s="26"/>
      <c r="J98" s="26"/>
      <c r="K98" s="26"/>
      <c r="L98" s="24" t="s">
        <v>280</v>
      </c>
      <c r="M98" s="24" t="s">
        <v>67</v>
      </c>
      <c r="N98" s="14"/>
      <c r="O98" s="14"/>
      <c r="P98" s="27" t="str">
        <f aca="false">IF(OR(N98="",O98=""),"",O98-N98)</f>
        <v/>
      </c>
      <c r="Q98" s="28" t="n">
        <f aca="false">IF(A98="","",COUNTIF($B$5:$B$500,A98))</f>
        <v>0</v>
      </c>
      <c r="R98" s="29" t="n">
        <f aca="false">IF(A98="","",IF(Q98&gt;0,COUNTIFS($B$5:$B$500,A98,$E$5:$E$500,"Done")/Q98,IF(E98="Done",1,0)))</f>
        <v>0</v>
      </c>
      <c r="S98" s="30" t="str">
        <f aca="true">IF(OR(A98="",E98="Done",J98=""),"",IF(J98&lt;TODAY(),"OVERDUE",IF(J98-TODAY()&lt;=7,"Due this week","")))</f>
        <v/>
      </c>
      <c r="T98" s="25"/>
    </row>
    <row r="99" customFormat="false" ht="15" hidden="false" customHeight="false" outlineLevel="0" collapsed="false">
      <c r="A99" s="24" t="s">
        <v>284</v>
      </c>
      <c r="B99" s="24"/>
      <c r="C99" s="9" t="s">
        <v>31</v>
      </c>
      <c r="D99" s="25" t="s">
        <v>285</v>
      </c>
      <c r="E99" s="9" t="s">
        <v>71</v>
      </c>
      <c r="F99" s="24" t="s">
        <v>166</v>
      </c>
      <c r="G99" s="9" t="s">
        <v>279</v>
      </c>
      <c r="H99" s="9" t="s">
        <v>115</v>
      </c>
      <c r="I99" s="26"/>
      <c r="J99" s="26"/>
      <c r="K99" s="26"/>
      <c r="L99" s="24" t="s">
        <v>282</v>
      </c>
      <c r="M99" s="24" t="s">
        <v>67</v>
      </c>
      <c r="N99" s="14"/>
      <c r="O99" s="14"/>
      <c r="P99" s="27" t="str">
        <f aca="false">IF(OR(N99="",O99=""),"",O99-N99)</f>
        <v/>
      </c>
      <c r="Q99" s="28" t="n">
        <f aca="false">IF(A99="","",COUNTIF($B$5:$B$500,A99))</f>
        <v>0</v>
      </c>
      <c r="R99" s="29" t="n">
        <f aca="false">IF(A99="","",IF(Q99&gt;0,COUNTIFS($B$5:$B$500,A99,$E$5:$E$500,"Done")/Q99,IF(E99="Done",1,0)))</f>
        <v>0</v>
      </c>
      <c r="S99" s="30" t="str">
        <f aca="true">IF(OR(A99="",E99="Done",J99=""),"",IF(J99&lt;TODAY(),"OVERDUE",IF(J99-TODAY()&lt;=7,"Due this week","")))</f>
        <v/>
      </c>
      <c r="T99" s="25"/>
    </row>
    <row r="100" customFormat="false" ht="15" hidden="false" customHeight="false" outlineLevel="0" collapsed="false">
      <c r="A100" s="24" t="s">
        <v>210</v>
      </c>
      <c r="B100" s="24"/>
      <c r="C100" s="9" t="s">
        <v>31</v>
      </c>
      <c r="D100" s="25" t="s">
        <v>286</v>
      </c>
      <c r="E100" s="9" t="s">
        <v>71</v>
      </c>
      <c r="F100" s="24" t="s">
        <v>166</v>
      </c>
      <c r="G100" s="9" t="s">
        <v>279</v>
      </c>
      <c r="H100" s="9" t="s">
        <v>115</v>
      </c>
      <c r="I100" s="26"/>
      <c r="J100" s="26"/>
      <c r="K100" s="26"/>
      <c r="L100" s="24" t="s">
        <v>284</v>
      </c>
      <c r="M100" s="24" t="s">
        <v>67</v>
      </c>
      <c r="N100" s="14"/>
      <c r="O100" s="14"/>
      <c r="P100" s="27" t="str">
        <f aca="false">IF(OR(N100="",O100=""),"",O100-N100)</f>
        <v/>
      </c>
      <c r="Q100" s="28" t="n">
        <f aca="false">IF(A100="","",COUNTIF($B$5:$B$500,A100))</f>
        <v>0</v>
      </c>
      <c r="R100" s="29" t="n">
        <f aca="false">IF(A100="","",IF(Q100&gt;0,COUNTIFS($B$5:$B$500,A100,$E$5:$E$500,"Done")/Q100,IF(E100="Done",1,0)))</f>
        <v>0</v>
      </c>
      <c r="S100" s="30" t="str">
        <f aca="true">IF(OR(A100="",E100="Done",J100=""),"",IF(J100&lt;TODAY(),"OVERDUE",IF(J100-TODAY()&lt;=7,"Due this week","")))</f>
        <v/>
      </c>
      <c r="T100" s="25" t="s">
        <v>287</v>
      </c>
    </row>
    <row r="101" customFormat="false" ht="15" hidden="false" customHeight="false" outlineLevel="0" collapsed="false">
      <c r="A101" s="24" t="s">
        <v>288</v>
      </c>
      <c r="B101" s="24"/>
      <c r="C101" s="9" t="s">
        <v>31</v>
      </c>
      <c r="D101" s="25" t="s">
        <v>289</v>
      </c>
      <c r="E101" s="9" t="s">
        <v>71</v>
      </c>
      <c r="F101" s="24" t="s">
        <v>166</v>
      </c>
      <c r="G101" s="9" t="s">
        <v>279</v>
      </c>
      <c r="H101" s="9" t="s">
        <v>66</v>
      </c>
      <c r="I101" s="26"/>
      <c r="J101" s="26"/>
      <c r="K101" s="26"/>
      <c r="L101" s="24" t="s">
        <v>210</v>
      </c>
      <c r="M101" s="24" t="s">
        <v>67</v>
      </c>
      <c r="N101" s="14"/>
      <c r="O101" s="14"/>
      <c r="P101" s="27" t="str">
        <f aca="false">IF(OR(N101="",O101=""),"",O101-N101)</f>
        <v/>
      </c>
      <c r="Q101" s="28" t="n">
        <f aca="false">IF(A101="","",COUNTIF($B$5:$B$500,A101))</f>
        <v>0</v>
      </c>
      <c r="R101" s="29" t="n">
        <f aca="false">IF(A101="","",IF(Q101&gt;0,COUNTIFS($B$5:$B$500,A101,$E$5:$E$500,"Done")/Q101,IF(E101="Done",1,0)))</f>
        <v>0</v>
      </c>
      <c r="S101" s="30" t="str">
        <f aca="true">IF(OR(A101="",E101="Done",J101=""),"",IF(J101&lt;TODAY(),"OVERDUE",IF(J101-TODAY()&lt;=7,"Due this week","")))</f>
        <v/>
      </c>
      <c r="T101" s="25"/>
    </row>
    <row r="102" customFormat="false" ht="15" hidden="false" customHeight="false" outlineLevel="0" collapsed="false">
      <c r="A102" s="24"/>
      <c r="B102" s="24"/>
      <c r="C102" s="9"/>
      <c r="D102" s="25"/>
      <c r="E102" s="9"/>
      <c r="F102" s="24"/>
      <c r="G102" s="9"/>
      <c r="H102" s="9"/>
      <c r="I102" s="26"/>
      <c r="J102" s="26"/>
      <c r="K102" s="26"/>
      <c r="L102" s="24"/>
      <c r="M102" s="24"/>
      <c r="N102" s="14"/>
      <c r="O102" s="14"/>
      <c r="P102" s="27" t="str">
        <f aca="false">IF(OR(N102="",O102=""),"",O102-N102)</f>
        <v/>
      </c>
      <c r="Q102" s="28" t="str">
        <f aca="false">IF(A102="","",COUNTIF($B$5:$B$500,A102))</f>
        <v/>
      </c>
      <c r="R102" s="29" t="str">
        <f aca="false">IF(A102="","",IF(Q102&gt;0,COUNTIFS($B$5:$B$500,A102,$E$5:$E$500,"Done")/Q102,IF(E102="Done",1,0)))</f>
        <v/>
      </c>
      <c r="S102" s="30" t="str">
        <f aca="true">IF(OR(A102="",E102="Done",J102=""),"",IF(J102&lt;TODAY(),"OVERDUE",IF(J102-TODAY()&lt;=7,"Due this week","")))</f>
        <v/>
      </c>
      <c r="T102" s="25"/>
    </row>
    <row r="103" customFormat="false" ht="15" hidden="false" customHeight="false" outlineLevel="0" collapsed="false">
      <c r="A103" s="24"/>
      <c r="B103" s="24"/>
      <c r="C103" s="9"/>
      <c r="D103" s="25"/>
      <c r="E103" s="9"/>
      <c r="F103" s="24"/>
      <c r="G103" s="9"/>
      <c r="H103" s="9"/>
      <c r="I103" s="26"/>
      <c r="J103" s="26"/>
      <c r="K103" s="26"/>
      <c r="L103" s="24"/>
      <c r="M103" s="24"/>
      <c r="N103" s="14"/>
      <c r="O103" s="14"/>
      <c r="P103" s="27" t="str">
        <f aca="false">IF(OR(N103="",O103=""),"",O103-N103)</f>
        <v/>
      </c>
      <c r="Q103" s="28" t="str">
        <f aca="false">IF(A103="","",COUNTIF($B$5:$B$500,A103))</f>
        <v/>
      </c>
      <c r="R103" s="29" t="str">
        <f aca="false">IF(A103="","",IF(Q103&gt;0,COUNTIFS($B$5:$B$500,A103,$E$5:$E$500,"Done")/Q103,IF(E103="Done",1,0)))</f>
        <v/>
      </c>
      <c r="S103" s="30" t="str">
        <f aca="true">IF(OR(A103="",E103="Done",J103=""),"",IF(J103&lt;TODAY(),"OVERDUE",IF(J103-TODAY()&lt;=7,"Due this week","")))</f>
        <v/>
      </c>
      <c r="T103" s="25"/>
    </row>
    <row r="104" customFormat="false" ht="15" hidden="false" customHeight="false" outlineLevel="0" collapsed="false">
      <c r="A104" s="24"/>
      <c r="B104" s="24"/>
      <c r="C104" s="9"/>
      <c r="D104" s="25"/>
      <c r="E104" s="9"/>
      <c r="F104" s="24"/>
      <c r="G104" s="9"/>
      <c r="H104" s="9"/>
      <c r="I104" s="26"/>
      <c r="J104" s="26"/>
      <c r="K104" s="26"/>
      <c r="L104" s="24"/>
      <c r="M104" s="24"/>
      <c r="N104" s="14"/>
      <c r="O104" s="14"/>
      <c r="P104" s="27" t="str">
        <f aca="false">IF(OR(N104="",O104=""),"",O104-N104)</f>
        <v/>
      </c>
      <c r="Q104" s="28" t="str">
        <f aca="false">IF(A104="","",COUNTIF($B$5:$B$500,A104))</f>
        <v/>
      </c>
      <c r="R104" s="29" t="str">
        <f aca="false">IF(A104="","",IF(Q104&gt;0,COUNTIFS($B$5:$B$500,A104,$E$5:$E$500,"Done")/Q104,IF(E104="Done",1,0)))</f>
        <v/>
      </c>
      <c r="S104" s="30" t="str">
        <f aca="true">IF(OR(A104="",E104="Done",J104=""),"",IF(J104&lt;TODAY(),"OVERDUE",IF(J104-TODAY()&lt;=7,"Due this week","")))</f>
        <v/>
      </c>
      <c r="T104" s="25"/>
    </row>
    <row r="105" customFormat="false" ht="15" hidden="false" customHeight="false" outlineLevel="0" collapsed="false">
      <c r="A105" s="24"/>
      <c r="B105" s="24"/>
      <c r="C105" s="9"/>
      <c r="D105" s="25"/>
      <c r="E105" s="9"/>
      <c r="F105" s="24"/>
      <c r="G105" s="9"/>
      <c r="H105" s="9"/>
      <c r="I105" s="26"/>
      <c r="J105" s="26"/>
      <c r="K105" s="26"/>
      <c r="L105" s="24"/>
      <c r="M105" s="24"/>
      <c r="N105" s="14"/>
      <c r="O105" s="14"/>
      <c r="P105" s="27" t="str">
        <f aca="false">IF(OR(N105="",O105=""),"",O105-N105)</f>
        <v/>
      </c>
      <c r="Q105" s="28" t="str">
        <f aca="false">IF(A105="","",COUNTIF($B$5:$B$500,A105))</f>
        <v/>
      </c>
      <c r="R105" s="29" t="str">
        <f aca="false">IF(A105="","",IF(Q105&gt;0,COUNTIFS($B$5:$B$500,A105,$E$5:$E$500,"Done")/Q105,IF(E105="Done",1,0)))</f>
        <v/>
      </c>
      <c r="S105" s="30" t="str">
        <f aca="true">IF(OR(A105="",E105="Done",J105=""),"",IF(J105&lt;TODAY(),"OVERDUE",IF(J105-TODAY()&lt;=7,"Due this week","")))</f>
        <v/>
      </c>
      <c r="T105" s="25"/>
    </row>
    <row r="106" customFormat="false" ht="15" hidden="false" customHeight="false" outlineLevel="0" collapsed="false">
      <c r="A106" s="24"/>
      <c r="B106" s="24"/>
      <c r="C106" s="9"/>
      <c r="D106" s="25"/>
      <c r="E106" s="9"/>
      <c r="F106" s="24"/>
      <c r="G106" s="9"/>
      <c r="H106" s="9"/>
      <c r="I106" s="26"/>
      <c r="J106" s="26"/>
      <c r="K106" s="26"/>
      <c r="L106" s="24"/>
      <c r="M106" s="24"/>
      <c r="N106" s="14"/>
      <c r="O106" s="14"/>
      <c r="P106" s="27" t="str">
        <f aca="false">IF(OR(N106="",O106=""),"",O106-N106)</f>
        <v/>
      </c>
      <c r="Q106" s="28" t="str">
        <f aca="false">IF(A106="","",COUNTIF($B$5:$B$500,A106))</f>
        <v/>
      </c>
      <c r="R106" s="29" t="str">
        <f aca="false">IF(A106="","",IF(Q106&gt;0,COUNTIFS($B$5:$B$500,A106,$E$5:$E$500,"Done")/Q106,IF(E106="Done",1,0)))</f>
        <v/>
      </c>
      <c r="S106" s="30" t="str">
        <f aca="true">IF(OR(A106="",E106="Done",J106=""),"",IF(J106&lt;TODAY(),"OVERDUE",IF(J106-TODAY()&lt;=7,"Due this week","")))</f>
        <v/>
      </c>
      <c r="T106" s="25"/>
    </row>
    <row r="107" customFormat="false" ht="15" hidden="false" customHeight="false" outlineLevel="0" collapsed="false">
      <c r="A107" s="24"/>
      <c r="B107" s="24"/>
      <c r="C107" s="9"/>
      <c r="D107" s="25"/>
      <c r="E107" s="9"/>
      <c r="F107" s="24"/>
      <c r="G107" s="9"/>
      <c r="H107" s="9"/>
      <c r="I107" s="26"/>
      <c r="J107" s="26"/>
      <c r="K107" s="26"/>
      <c r="L107" s="24"/>
      <c r="M107" s="24"/>
      <c r="N107" s="14"/>
      <c r="O107" s="14"/>
      <c r="P107" s="27" t="str">
        <f aca="false">IF(OR(N107="",O107=""),"",O107-N107)</f>
        <v/>
      </c>
      <c r="Q107" s="28" t="str">
        <f aca="false">IF(A107="","",COUNTIF($B$5:$B$500,A107))</f>
        <v/>
      </c>
      <c r="R107" s="29" t="str">
        <f aca="false">IF(A107="","",IF(Q107&gt;0,COUNTIFS($B$5:$B$500,A107,$E$5:$E$500,"Done")/Q107,IF(E107="Done",1,0)))</f>
        <v/>
      </c>
      <c r="S107" s="30" t="str">
        <f aca="true">IF(OR(A107="",E107="Done",J107=""),"",IF(J107&lt;TODAY(),"OVERDUE",IF(J107-TODAY()&lt;=7,"Due this week","")))</f>
        <v/>
      </c>
      <c r="T107" s="25"/>
    </row>
    <row r="108" customFormat="false" ht="15" hidden="false" customHeight="false" outlineLevel="0" collapsed="false">
      <c r="A108" s="24"/>
      <c r="B108" s="24"/>
      <c r="C108" s="9"/>
      <c r="D108" s="25"/>
      <c r="E108" s="9"/>
      <c r="F108" s="24"/>
      <c r="G108" s="9"/>
      <c r="H108" s="9"/>
      <c r="I108" s="26"/>
      <c r="J108" s="26"/>
      <c r="K108" s="26"/>
      <c r="L108" s="24"/>
      <c r="M108" s="24"/>
      <c r="N108" s="14"/>
      <c r="O108" s="14"/>
      <c r="P108" s="27" t="str">
        <f aca="false">IF(OR(N108="",O108=""),"",O108-N108)</f>
        <v/>
      </c>
      <c r="Q108" s="28" t="str">
        <f aca="false">IF(A108="","",COUNTIF($B$5:$B$500,A108))</f>
        <v/>
      </c>
      <c r="R108" s="29" t="str">
        <f aca="false">IF(A108="","",IF(Q108&gt;0,COUNTIFS($B$5:$B$500,A108,$E$5:$E$500,"Done")/Q108,IF(E108="Done",1,0)))</f>
        <v/>
      </c>
      <c r="S108" s="30" t="str">
        <f aca="true">IF(OR(A108="",E108="Done",J108=""),"",IF(J108&lt;TODAY(),"OVERDUE",IF(J108-TODAY()&lt;=7,"Due this week","")))</f>
        <v/>
      </c>
      <c r="T108" s="25"/>
    </row>
    <row r="109" customFormat="false" ht="15" hidden="false" customHeight="false" outlineLevel="0" collapsed="false">
      <c r="A109" s="24"/>
      <c r="B109" s="24"/>
      <c r="C109" s="9"/>
      <c r="D109" s="25"/>
      <c r="E109" s="9"/>
      <c r="F109" s="24"/>
      <c r="G109" s="9"/>
      <c r="H109" s="9"/>
      <c r="I109" s="26"/>
      <c r="J109" s="26"/>
      <c r="K109" s="26"/>
      <c r="L109" s="24"/>
      <c r="M109" s="24"/>
      <c r="N109" s="14"/>
      <c r="O109" s="14"/>
      <c r="P109" s="27" t="str">
        <f aca="false">IF(OR(N109="",O109=""),"",O109-N109)</f>
        <v/>
      </c>
      <c r="Q109" s="28" t="str">
        <f aca="false">IF(A109="","",COUNTIF($B$5:$B$500,A109))</f>
        <v/>
      </c>
      <c r="R109" s="29" t="str">
        <f aca="false">IF(A109="","",IF(Q109&gt;0,COUNTIFS($B$5:$B$500,A109,$E$5:$E$500,"Done")/Q109,IF(E109="Done",1,0)))</f>
        <v/>
      </c>
      <c r="S109" s="30" t="str">
        <f aca="true">IF(OR(A109="",E109="Done",J109=""),"",IF(J109&lt;TODAY(),"OVERDUE",IF(J109-TODAY()&lt;=7,"Due this week","")))</f>
        <v/>
      </c>
      <c r="T109" s="25"/>
    </row>
    <row r="110" customFormat="false" ht="15" hidden="false" customHeight="false" outlineLevel="0" collapsed="false">
      <c r="A110" s="24"/>
      <c r="B110" s="24"/>
      <c r="C110" s="9"/>
      <c r="D110" s="25"/>
      <c r="E110" s="9"/>
      <c r="F110" s="24"/>
      <c r="G110" s="9"/>
      <c r="H110" s="9"/>
      <c r="I110" s="26"/>
      <c r="J110" s="26"/>
      <c r="K110" s="26"/>
      <c r="L110" s="24"/>
      <c r="M110" s="24"/>
      <c r="N110" s="14"/>
      <c r="O110" s="14"/>
      <c r="P110" s="27" t="str">
        <f aca="false">IF(OR(N110="",O110=""),"",O110-N110)</f>
        <v/>
      </c>
      <c r="Q110" s="28" t="str">
        <f aca="false">IF(A110="","",COUNTIF($B$5:$B$500,A110))</f>
        <v/>
      </c>
      <c r="R110" s="29" t="str">
        <f aca="false">IF(A110="","",IF(Q110&gt;0,COUNTIFS($B$5:$B$500,A110,$E$5:$E$500,"Done")/Q110,IF(E110="Done",1,0)))</f>
        <v/>
      </c>
      <c r="S110" s="30" t="str">
        <f aca="true">IF(OR(A110="",E110="Done",J110=""),"",IF(J110&lt;TODAY(),"OVERDUE",IF(J110-TODAY()&lt;=7,"Due this week","")))</f>
        <v/>
      </c>
      <c r="T110" s="25"/>
    </row>
    <row r="111" customFormat="false" ht="15" hidden="false" customHeight="false" outlineLevel="0" collapsed="false">
      <c r="A111" s="24"/>
      <c r="B111" s="24"/>
      <c r="C111" s="9"/>
      <c r="D111" s="25"/>
      <c r="E111" s="9"/>
      <c r="F111" s="24"/>
      <c r="G111" s="9"/>
      <c r="H111" s="9"/>
      <c r="I111" s="26"/>
      <c r="J111" s="26"/>
      <c r="K111" s="26"/>
      <c r="L111" s="24"/>
      <c r="M111" s="24"/>
      <c r="N111" s="14"/>
      <c r="O111" s="14"/>
      <c r="P111" s="27" t="str">
        <f aca="false">IF(OR(N111="",O111=""),"",O111-N111)</f>
        <v/>
      </c>
      <c r="Q111" s="28" t="str">
        <f aca="false">IF(A111="","",COUNTIF($B$5:$B$500,A111))</f>
        <v/>
      </c>
      <c r="R111" s="29" t="str">
        <f aca="false">IF(A111="","",IF(Q111&gt;0,COUNTIFS($B$5:$B$500,A111,$E$5:$E$500,"Done")/Q111,IF(E111="Done",1,0)))</f>
        <v/>
      </c>
      <c r="S111" s="30" t="str">
        <f aca="true">IF(OR(A111="",E111="Done",J111=""),"",IF(J111&lt;TODAY(),"OVERDUE",IF(J111-TODAY()&lt;=7,"Due this week","")))</f>
        <v/>
      </c>
      <c r="T111" s="25"/>
    </row>
    <row r="112" customFormat="false" ht="15" hidden="false" customHeight="false" outlineLevel="0" collapsed="false">
      <c r="A112" s="24"/>
      <c r="B112" s="24"/>
      <c r="C112" s="9"/>
      <c r="D112" s="25"/>
      <c r="E112" s="9"/>
      <c r="F112" s="24"/>
      <c r="G112" s="9"/>
      <c r="H112" s="9"/>
      <c r="I112" s="26"/>
      <c r="J112" s="26"/>
      <c r="K112" s="26"/>
      <c r="L112" s="24"/>
      <c r="M112" s="24"/>
      <c r="N112" s="14"/>
      <c r="O112" s="14"/>
      <c r="P112" s="27" t="str">
        <f aca="false">IF(OR(N112="",O112=""),"",O112-N112)</f>
        <v/>
      </c>
      <c r="Q112" s="28" t="str">
        <f aca="false">IF(A112="","",COUNTIF($B$5:$B$500,A112))</f>
        <v/>
      </c>
      <c r="R112" s="29" t="str">
        <f aca="false">IF(A112="","",IF(Q112&gt;0,COUNTIFS($B$5:$B$500,A112,$E$5:$E$500,"Done")/Q112,IF(E112="Done",1,0)))</f>
        <v/>
      </c>
      <c r="S112" s="30" t="str">
        <f aca="true">IF(OR(A112="",E112="Done",J112=""),"",IF(J112&lt;TODAY(),"OVERDUE",IF(J112-TODAY()&lt;=7,"Due this week","")))</f>
        <v/>
      </c>
      <c r="T112" s="25"/>
    </row>
    <row r="113" customFormat="false" ht="15" hidden="false" customHeight="false" outlineLevel="0" collapsed="false">
      <c r="A113" s="24"/>
      <c r="B113" s="24"/>
      <c r="C113" s="9"/>
      <c r="D113" s="25"/>
      <c r="E113" s="9"/>
      <c r="F113" s="24"/>
      <c r="G113" s="9"/>
      <c r="H113" s="9"/>
      <c r="I113" s="26"/>
      <c r="J113" s="26"/>
      <c r="K113" s="26"/>
      <c r="L113" s="24"/>
      <c r="M113" s="24"/>
      <c r="N113" s="14"/>
      <c r="O113" s="14"/>
      <c r="P113" s="27" t="str">
        <f aca="false">IF(OR(N113="",O113=""),"",O113-N113)</f>
        <v/>
      </c>
      <c r="Q113" s="28" t="str">
        <f aca="false">IF(A113="","",COUNTIF($B$5:$B$500,A113))</f>
        <v/>
      </c>
      <c r="R113" s="29" t="str">
        <f aca="false">IF(A113="","",IF(Q113&gt;0,COUNTIFS($B$5:$B$500,A113,$E$5:$E$500,"Done")/Q113,IF(E113="Done",1,0)))</f>
        <v/>
      </c>
      <c r="S113" s="30" t="str">
        <f aca="true">IF(OR(A113="",E113="Done",J113=""),"",IF(J113&lt;TODAY(),"OVERDUE",IF(J113-TODAY()&lt;=7,"Due this week","")))</f>
        <v/>
      </c>
      <c r="T113" s="25"/>
    </row>
    <row r="114" customFormat="false" ht="15" hidden="false" customHeight="false" outlineLevel="0" collapsed="false">
      <c r="A114" s="24"/>
      <c r="B114" s="24"/>
      <c r="C114" s="9"/>
      <c r="D114" s="25"/>
      <c r="E114" s="9"/>
      <c r="F114" s="24"/>
      <c r="G114" s="9"/>
      <c r="H114" s="9"/>
      <c r="I114" s="26"/>
      <c r="J114" s="26"/>
      <c r="K114" s="26"/>
      <c r="L114" s="24"/>
      <c r="M114" s="24"/>
      <c r="N114" s="14"/>
      <c r="O114" s="14"/>
      <c r="P114" s="27" t="str">
        <f aca="false">IF(OR(N114="",O114=""),"",O114-N114)</f>
        <v/>
      </c>
      <c r="Q114" s="28" t="str">
        <f aca="false">IF(A114="","",COUNTIF($B$5:$B$500,A114))</f>
        <v/>
      </c>
      <c r="R114" s="29" t="str">
        <f aca="false">IF(A114="","",IF(Q114&gt;0,COUNTIFS($B$5:$B$500,A114,$E$5:$E$500,"Done")/Q114,IF(E114="Done",1,0)))</f>
        <v/>
      </c>
      <c r="S114" s="30" t="str">
        <f aca="true">IF(OR(A114="",E114="Done",J114=""),"",IF(J114&lt;TODAY(),"OVERDUE",IF(J114-TODAY()&lt;=7,"Due this week","")))</f>
        <v/>
      </c>
      <c r="T114" s="25"/>
    </row>
    <row r="115" customFormat="false" ht="15" hidden="false" customHeight="false" outlineLevel="0" collapsed="false">
      <c r="A115" s="24"/>
      <c r="B115" s="24"/>
      <c r="C115" s="9"/>
      <c r="D115" s="25"/>
      <c r="E115" s="9"/>
      <c r="F115" s="24"/>
      <c r="G115" s="9"/>
      <c r="H115" s="9"/>
      <c r="I115" s="26"/>
      <c r="J115" s="26"/>
      <c r="K115" s="26"/>
      <c r="L115" s="24"/>
      <c r="M115" s="24"/>
      <c r="N115" s="14"/>
      <c r="O115" s="14"/>
      <c r="P115" s="27" t="str">
        <f aca="false">IF(OR(N115="",O115=""),"",O115-N115)</f>
        <v/>
      </c>
      <c r="Q115" s="28" t="str">
        <f aca="false">IF(A115="","",COUNTIF($B$5:$B$500,A115))</f>
        <v/>
      </c>
      <c r="R115" s="29" t="str">
        <f aca="false">IF(A115="","",IF(Q115&gt;0,COUNTIFS($B$5:$B$500,A115,$E$5:$E$500,"Done")/Q115,IF(E115="Done",1,0)))</f>
        <v/>
      </c>
      <c r="S115" s="30" t="str">
        <f aca="true">IF(OR(A115="",E115="Done",J115=""),"",IF(J115&lt;TODAY(),"OVERDUE",IF(J115-TODAY()&lt;=7,"Due this week","")))</f>
        <v/>
      </c>
      <c r="T115" s="25"/>
    </row>
    <row r="116" customFormat="false" ht="15" hidden="false" customHeight="false" outlineLevel="0" collapsed="false">
      <c r="A116" s="24"/>
      <c r="B116" s="24"/>
      <c r="C116" s="9"/>
      <c r="D116" s="25"/>
      <c r="E116" s="9"/>
      <c r="F116" s="24"/>
      <c r="G116" s="9"/>
      <c r="H116" s="9"/>
      <c r="I116" s="26"/>
      <c r="J116" s="26"/>
      <c r="K116" s="26"/>
      <c r="L116" s="24"/>
      <c r="M116" s="24"/>
      <c r="N116" s="14"/>
      <c r="O116" s="14"/>
      <c r="P116" s="27" t="str">
        <f aca="false">IF(OR(N116="",O116=""),"",O116-N116)</f>
        <v/>
      </c>
      <c r="Q116" s="28" t="str">
        <f aca="false">IF(A116="","",COUNTIF($B$5:$B$500,A116))</f>
        <v/>
      </c>
      <c r="R116" s="29" t="str">
        <f aca="false">IF(A116="","",IF(Q116&gt;0,COUNTIFS($B$5:$B$500,A116,$E$5:$E$500,"Done")/Q116,IF(E116="Done",1,0)))</f>
        <v/>
      </c>
      <c r="S116" s="30" t="str">
        <f aca="true">IF(OR(A116="",E116="Done",J116=""),"",IF(J116&lt;TODAY(),"OVERDUE",IF(J116-TODAY()&lt;=7,"Due this week","")))</f>
        <v/>
      </c>
      <c r="T116" s="25"/>
    </row>
    <row r="117" customFormat="false" ht="15" hidden="false" customHeight="false" outlineLevel="0" collapsed="false">
      <c r="A117" s="24"/>
      <c r="B117" s="24"/>
      <c r="C117" s="9"/>
      <c r="D117" s="25"/>
      <c r="E117" s="9"/>
      <c r="F117" s="24"/>
      <c r="G117" s="9"/>
      <c r="H117" s="9"/>
      <c r="I117" s="26"/>
      <c r="J117" s="26"/>
      <c r="K117" s="26"/>
      <c r="L117" s="24"/>
      <c r="M117" s="24"/>
      <c r="N117" s="14"/>
      <c r="O117" s="14"/>
      <c r="P117" s="27" t="str">
        <f aca="false">IF(OR(N117="",O117=""),"",O117-N117)</f>
        <v/>
      </c>
      <c r="Q117" s="28" t="str">
        <f aca="false">IF(A117="","",COUNTIF($B$5:$B$500,A117))</f>
        <v/>
      </c>
      <c r="R117" s="29" t="str">
        <f aca="false">IF(A117="","",IF(Q117&gt;0,COUNTIFS($B$5:$B$500,A117,$E$5:$E$500,"Done")/Q117,IF(E117="Done",1,0)))</f>
        <v/>
      </c>
      <c r="S117" s="30" t="str">
        <f aca="true">IF(OR(A117="",E117="Done",J117=""),"",IF(J117&lt;TODAY(),"OVERDUE",IF(J117-TODAY()&lt;=7,"Due this week","")))</f>
        <v/>
      </c>
      <c r="T117" s="25"/>
    </row>
    <row r="118" customFormat="false" ht="15" hidden="false" customHeight="false" outlineLevel="0" collapsed="false">
      <c r="A118" s="24"/>
      <c r="B118" s="24"/>
      <c r="C118" s="9"/>
      <c r="D118" s="25"/>
      <c r="E118" s="9"/>
      <c r="F118" s="24"/>
      <c r="G118" s="9"/>
      <c r="H118" s="9"/>
      <c r="I118" s="26"/>
      <c r="J118" s="26"/>
      <c r="K118" s="26"/>
      <c r="L118" s="24"/>
      <c r="M118" s="24"/>
      <c r="N118" s="14"/>
      <c r="O118" s="14"/>
      <c r="P118" s="27" t="str">
        <f aca="false">IF(OR(N118="",O118=""),"",O118-N118)</f>
        <v/>
      </c>
      <c r="Q118" s="28" t="str">
        <f aca="false">IF(A118="","",COUNTIF($B$5:$B$500,A118))</f>
        <v/>
      </c>
      <c r="R118" s="29" t="str">
        <f aca="false">IF(A118="","",IF(Q118&gt;0,COUNTIFS($B$5:$B$500,A118,$E$5:$E$500,"Done")/Q118,IF(E118="Done",1,0)))</f>
        <v/>
      </c>
      <c r="S118" s="30" t="str">
        <f aca="true">IF(OR(A118="",E118="Done",J118=""),"",IF(J118&lt;TODAY(),"OVERDUE",IF(J118-TODAY()&lt;=7,"Due this week","")))</f>
        <v/>
      </c>
      <c r="T118" s="25"/>
    </row>
    <row r="119" customFormat="false" ht="15" hidden="false" customHeight="false" outlineLevel="0" collapsed="false">
      <c r="A119" s="24"/>
      <c r="B119" s="24"/>
      <c r="C119" s="9"/>
      <c r="D119" s="25"/>
      <c r="E119" s="9"/>
      <c r="F119" s="24"/>
      <c r="G119" s="9"/>
      <c r="H119" s="9"/>
      <c r="I119" s="26"/>
      <c r="J119" s="26"/>
      <c r="K119" s="26"/>
      <c r="L119" s="24"/>
      <c r="M119" s="24"/>
      <c r="N119" s="14"/>
      <c r="O119" s="14"/>
      <c r="P119" s="27" t="str">
        <f aca="false">IF(OR(N119="",O119=""),"",O119-N119)</f>
        <v/>
      </c>
      <c r="Q119" s="28" t="str">
        <f aca="false">IF(A119="","",COUNTIF($B$5:$B$500,A119))</f>
        <v/>
      </c>
      <c r="R119" s="29" t="str">
        <f aca="false">IF(A119="","",IF(Q119&gt;0,COUNTIFS($B$5:$B$500,A119,$E$5:$E$500,"Done")/Q119,IF(E119="Done",1,0)))</f>
        <v/>
      </c>
      <c r="S119" s="30" t="str">
        <f aca="true">IF(OR(A119="",E119="Done",J119=""),"",IF(J119&lt;TODAY(),"OVERDUE",IF(J119-TODAY()&lt;=7,"Due this week","")))</f>
        <v/>
      </c>
      <c r="T119" s="25"/>
    </row>
    <row r="120" customFormat="false" ht="15" hidden="false" customHeight="false" outlineLevel="0" collapsed="false">
      <c r="A120" s="24"/>
      <c r="B120" s="24"/>
      <c r="C120" s="9"/>
      <c r="D120" s="25"/>
      <c r="E120" s="9"/>
      <c r="F120" s="24"/>
      <c r="G120" s="9"/>
      <c r="H120" s="9"/>
      <c r="I120" s="26"/>
      <c r="J120" s="26"/>
      <c r="K120" s="26"/>
      <c r="L120" s="24"/>
      <c r="M120" s="24"/>
      <c r="N120" s="14"/>
      <c r="O120" s="14"/>
      <c r="P120" s="27" t="str">
        <f aca="false">IF(OR(N120="",O120=""),"",O120-N120)</f>
        <v/>
      </c>
      <c r="Q120" s="28" t="str">
        <f aca="false">IF(A120="","",COUNTIF($B$5:$B$500,A120))</f>
        <v/>
      </c>
      <c r="R120" s="29" t="str">
        <f aca="false">IF(A120="","",IF(Q120&gt;0,COUNTIFS($B$5:$B$500,A120,$E$5:$E$500,"Done")/Q120,IF(E120="Done",1,0)))</f>
        <v/>
      </c>
      <c r="S120" s="30" t="str">
        <f aca="true">IF(OR(A120="",E120="Done",J120=""),"",IF(J120&lt;TODAY(),"OVERDUE",IF(J120-TODAY()&lt;=7,"Due this week","")))</f>
        <v/>
      </c>
      <c r="T120" s="25"/>
    </row>
    <row r="121" customFormat="false" ht="15" hidden="false" customHeight="false" outlineLevel="0" collapsed="false">
      <c r="A121" s="24"/>
      <c r="B121" s="24"/>
      <c r="C121" s="9"/>
      <c r="D121" s="25"/>
      <c r="E121" s="9"/>
      <c r="F121" s="24"/>
      <c r="G121" s="9"/>
      <c r="H121" s="9"/>
      <c r="I121" s="26"/>
      <c r="J121" s="26"/>
      <c r="K121" s="26"/>
      <c r="L121" s="24"/>
      <c r="M121" s="24"/>
      <c r="N121" s="14"/>
      <c r="O121" s="14"/>
      <c r="P121" s="27" t="str">
        <f aca="false">IF(OR(N121="",O121=""),"",O121-N121)</f>
        <v/>
      </c>
      <c r="Q121" s="28" t="str">
        <f aca="false">IF(A121="","",COUNTIF($B$5:$B$500,A121))</f>
        <v/>
      </c>
      <c r="R121" s="29" t="str">
        <f aca="false">IF(A121="","",IF(Q121&gt;0,COUNTIFS($B$5:$B$500,A121,$E$5:$E$500,"Done")/Q121,IF(E121="Done",1,0)))</f>
        <v/>
      </c>
      <c r="S121" s="30" t="str">
        <f aca="true">IF(OR(A121="",E121="Done",J121=""),"",IF(J121&lt;TODAY(),"OVERDUE",IF(J121-TODAY()&lt;=7,"Due this week","")))</f>
        <v/>
      </c>
      <c r="T121" s="25"/>
    </row>
    <row r="122" customFormat="false" ht="15" hidden="false" customHeight="false" outlineLevel="0" collapsed="false">
      <c r="A122" s="24"/>
      <c r="B122" s="24"/>
      <c r="C122" s="9"/>
      <c r="D122" s="25"/>
      <c r="E122" s="9"/>
      <c r="F122" s="24"/>
      <c r="G122" s="9"/>
      <c r="H122" s="9"/>
      <c r="I122" s="26"/>
      <c r="J122" s="26"/>
      <c r="K122" s="26"/>
      <c r="L122" s="24"/>
      <c r="M122" s="24"/>
      <c r="N122" s="14"/>
      <c r="O122" s="14"/>
      <c r="P122" s="27" t="str">
        <f aca="false">IF(OR(N122="",O122=""),"",O122-N122)</f>
        <v/>
      </c>
      <c r="Q122" s="28" t="str">
        <f aca="false">IF(A122="","",COUNTIF($B$5:$B$500,A122))</f>
        <v/>
      </c>
      <c r="R122" s="29" t="str">
        <f aca="false">IF(A122="","",IF(Q122&gt;0,COUNTIFS($B$5:$B$500,A122,$E$5:$E$500,"Done")/Q122,IF(E122="Done",1,0)))</f>
        <v/>
      </c>
      <c r="S122" s="30" t="str">
        <f aca="true">IF(OR(A122="",E122="Done",J122=""),"",IF(J122&lt;TODAY(),"OVERDUE",IF(J122-TODAY()&lt;=7,"Due this week","")))</f>
        <v/>
      </c>
      <c r="T122" s="25"/>
    </row>
    <row r="123" customFormat="false" ht="15" hidden="false" customHeight="false" outlineLevel="0" collapsed="false">
      <c r="A123" s="24"/>
      <c r="B123" s="24"/>
      <c r="C123" s="9"/>
      <c r="D123" s="25"/>
      <c r="E123" s="9"/>
      <c r="F123" s="24"/>
      <c r="G123" s="9"/>
      <c r="H123" s="9"/>
      <c r="I123" s="26"/>
      <c r="J123" s="26"/>
      <c r="K123" s="26"/>
      <c r="L123" s="24"/>
      <c r="M123" s="24"/>
      <c r="N123" s="14"/>
      <c r="O123" s="14"/>
      <c r="P123" s="27" t="str">
        <f aca="false">IF(OR(N123="",O123=""),"",O123-N123)</f>
        <v/>
      </c>
      <c r="Q123" s="28" t="str">
        <f aca="false">IF(A123="","",COUNTIF($B$5:$B$500,A123))</f>
        <v/>
      </c>
      <c r="R123" s="29" t="str">
        <f aca="false">IF(A123="","",IF(Q123&gt;0,COUNTIFS($B$5:$B$500,A123,$E$5:$E$500,"Done")/Q123,IF(E123="Done",1,0)))</f>
        <v/>
      </c>
      <c r="S123" s="30" t="str">
        <f aca="true">IF(OR(A123="",E123="Done",J123=""),"",IF(J123&lt;TODAY(),"OVERDUE",IF(J123-TODAY()&lt;=7,"Due this week","")))</f>
        <v/>
      </c>
      <c r="T123" s="25"/>
    </row>
    <row r="124" customFormat="false" ht="15" hidden="false" customHeight="false" outlineLevel="0" collapsed="false">
      <c r="A124" s="24"/>
      <c r="B124" s="24"/>
      <c r="C124" s="9"/>
      <c r="D124" s="25"/>
      <c r="E124" s="9"/>
      <c r="F124" s="24"/>
      <c r="G124" s="9"/>
      <c r="H124" s="9"/>
      <c r="I124" s="26"/>
      <c r="J124" s="26"/>
      <c r="K124" s="26"/>
      <c r="L124" s="24"/>
      <c r="M124" s="24"/>
      <c r="N124" s="14"/>
      <c r="O124" s="14"/>
      <c r="P124" s="27" t="str">
        <f aca="false">IF(OR(N124="",O124=""),"",O124-N124)</f>
        <v/>
      </c>
      <c r="Q124" s="28" t="str">
        <f aca="false">IF(A124="","",COUNTIF($B$5:$B$500,A124))</f>
        <v/>
      </c>
      <c r="R124" s="29" t="str">
        <f aca="false">IF(A124="","",IF(Q124&gt;0,COUNTIFS($B$5:$B$500,A124,$E$5:$E$500,"Done")/Q124,IF(E124="Done",1,0)))</f>
        <v/>
      </c>
      <c r="S124" s="30" t="str">
        <f aca="true">IF(OR(A124="",E124="Done",J124=""),"",IF(J124&lt;TODAY(),"OVERDUE",IF(J124-TODAY()&lt;=7,"Due this week","")))</f>
        <v/>
      </c>
      <c r="T124" s="25"/>
    </row>
    <row r="125" customFormat="false" ht="15" hidden="false" customHeight="false" outlineLevel="0" collapsed="false">
      <c r="A125" s="24"/>
      <c r="B125" s="24"/>
      <c r="C125" s="9"/>
      <c r="D125" s="25"/>
      <c r="E125" s="9"/>
      <c r="F125" s="24"/>
      <c r="G125" s="9"/>
      <c r="H125" s="9"/>
      <c r="I125" s="26"/>
      <c r="J125" s="26"/>
      <c r="K125" s="26"/>
      <c r="L125" s="24"/>
      <c r="M125" s="24"/>
      <c r="N125" s="14"/>
      <c r="O125" s="14"/>
      <c r="P125" s="27" t="str">
        <f aca="false">IF(OR(N125="",O125=""),"",O125-N125)</f>
        <v/>
      </c>
      <c r="Q125" s="28" t="str">
        <f aca="false">IF(A125="","",COUNTIF($B$5:$B$500,A125))</f>
        <v/>
      </c>
      <c r="R125" s="29" t="str">
        <f aca="false">IF(A125="","",IF(Q125&gt;0,COUNTIFS($B$5:$B$500,A125,$E$5:$E$500,"Done")/Q125,IF(E125="Done",1,0)))</f>
        <v/>
      </c>
      <c r="S125" s="30" t="str">
        <f aca="true">IF(OR(A125="",E125="Done",J125=""),"",IF(J125&lt;TODAY(),"OVERDUE",IF(J125-TODAY()&lt;=7,"Due this week","")))</f>
        <v/>
      </c>
      <c r="T125" s="25"/>
    </row>
    <row r="126" customFormat="false" ht="15" hidden="false" customHeight="false" outlineLevel="0" collapsed="false">
      <c r="A126" s="24"/>
      <c r="B126" s="24"/>
      <c r="C126" s="9"/>
      <c r="D126" s="25"/>
      <c r="E126" s="9"/>
      <c r="F126" s="24"/>
      <c r="G126" s="9"/>
      <c r="H126" s="9"/>
      <c r="I126" s="26"/>
      <c r="J126" s="26"/>
      <c r="K126" s="26"/>
      <c r="L126" s="24"/>
      <c r="M126" s="24"/>
      <c r="N126" s="14"/>
      <c r="O126" s="14"/>
      <c r="P126" s="27" t="str">
        <f aca="false">IF(OR(N126="",O126=""),"",O126-N126)</f>
        <v/>
      </c>
      <c r="Q126" s="28" t="str">
        <f aca="false">IF(A126="","",COUNTIF($B$5:$B$500,A126))</f>
        <v/>
      </c>
      <c r="R126" s="29" t="str">
        <f aca="false">IF(A126="","",IF(Q126&gt;0,COUNTIFS($B$5:$B$500,A126,$E$5:$E$500,"Done")/Q126,IF(E126="Done",1,0)))</f>
        <v/>
      </c>
      <c r="S126" s="30" t="str">
        <f aca="true">IF(OR(A126="",E126="Done",J126=""),"",IF(J126&lt;TODAY(),"OVERDUE",IF(J126-TODAY()&lt;=7,"Due this week","")))</f>
        <v/>
      </c>
      <c r="T126" s="25"/>
    </row>
    <row r="127" customFormat="false" ht="15" hidden="false" customHeight="false" outlineLevel="0" collapsed="false">
      <c r="A127" s="24"/>
      <c r="B127" s="24"/>
      <c r="C127" s="9"/>
      <c r="D127" s="25"/>
      <c r="E127" s="9"/>
      <c r="F127" s="24"/>
      <c r="G127" s="9"/>
      <c r="H127" s="9"/>
      <c r="I127" s="26"/>
      <c r="J127" s="26"/>
      <c r="K127" s="26"/>
      <c r="L127" s="24"/>
      <c r="M127" s="24"/>
      <c r="N127" s="14"/>
      <c r="O127" s="14"/>
      <c r="P127" s="27" t="str">
        <f aca="false">IF(OR(N127="",O127=""),"",O127-N127)</f>
        <v/>
      </c>
      <c r="Q127" s="28" t="str">
        <f aca="false">IF(A127="","",COUNTIF($B$5:$B$500,A127))</f>
        <v/>
      </c>
      <c r="R127" s="29" t="str">
        <f aca="false">IF(A127="","",IF(Q127&gt;0,COUNTIFS($B$5:$B$500,A127,$E$5:$E$500,"Done")/Q127,IF(E127="Done",1,0)))</f>
        <v/>
      </c>
      <c r="S127" s="30" t="str">
        <f aca="true">IF(OR(A127="",E127="Done",J127=""),"",IF(J127&lt;TODAY(),"OVERDUE",IF(J127-TODAY()&lt;=7,"Due this week","")))</f>
        <v/>
      </c>
      <c r="T127" s="25"/>
    </row>
    <row r="128" customFormat="false" ht="15" hidden="false" customHeight="false" outlineLevel="0" collapsed="false">
      <c r="A128" s="24"/>
      <c r="B128" s="24"/>
      <c r="C128" s="9"/>
      <c r="D128" s="25"/>
      <c r="E128" s="9"/>
      <c r="F128" s="24"/>
      <c r="G128" s="9"/>
      <c r="H128" s="9"/>
      <c r="I128" s="26"/>
      <c r="J128" s="26"/>
      <c r="K128" s="26"/>
      <c r="L128" s="24"/>
      <c r="M128" s="24"/>
      <c r="N128" s="14"/>
      <c r="O128" s="14"/>
      <c r="P128" s="27" t="str">
        <f aca="false">IF(OR(N128="",O128=""),"",O128-N128)</f>
        <v/>
      </c>
      <c r="Q128" s="28" t="str">
        <f aca="false">IF(A128="","",COUNTIF($B$5:$B$500,A128))</f>
        <v/>
      </c>
      <c r="R128" s="29" t="str">
        <f aca="false">IF(A128="","",IF(Q128&gt;0,COUNTIFS($B$5:$B$500,A128,$E$5:$E$500,"Done")/Q128,IF(E128="Done",1,0)))</f>
        <v/>
      </c>
      <c r="S128" s="30" t="str">
        <f aca="true">IF(OR(A128="",E128="Done",J128=""),"",IF(J128&lt;TODAY(),"OVERDUE",IF(J128-TODAY()&lt;=7,"Due this week","")))</f>
        <v/>
      </c>
      <c r="T128" s="25"/>
    </row>
    <row r="129" customFormat="false" ht="15" hidden="false" customHeight="false" outlineLevel="0" collapsed="false">
      <c r="A129" s="24"/>
      <c r="B129" s="24"/>
      <c r="C129" s="9"/>
      <c r="D129" s="25"/>
      <c r="E129" s="9"/>
      <c r="F129" s="24"/>
      <c r="G129" s="9"/>
      <c r="H129" s="9"/>
      <c r="I129" s="26"/>
      <c r="J129" s="26"/>
      <c r="K129" s="26"/>
      <c r="L129" s="24"/>
      <c r="M129" s="24"/>
      <c r="N129" s="14"/>
      <c r="O129" s="14"/>
      <c r="P129" s="27" t="str">
        <f aca="false">IF(OR(N129="",O129=""),"",O129-N129)</f>
        <v/>
      </c>
      <c r="Q129" s="28" t="str">
        <f aca="false">IF(A129="","",COUNTIF($B$5:$B$500,A129))</f>
        <v/>
      </c>
      <c r="R129" s="29" t="str">
        <f aca="false">IF(A129="","",IF(Q129&gt;0,COUNTIFS($B$5:$B$500,A129,$E$5:$E$500,"Done")/Q129,IF(E129="Done",1,0)))</f>
        <v/>
      </c>
      <c r="S129" s="30" t="str">
        <f aca="true">IF(OR(A129="",E129="Done",J129=""),"",IF(J129&lt;TODAY(),"OVERDUE",IF(J129-TODAY()&lt;=7,"Due this week","")))</f>
        <v/>
      </c>
      <c r="T129" s="25"/>
    </row>
    <row r="130" customFormat="false" ht="15" hidden="false" customHeight="false" outlineLevel="0" collapsed="false">
      <c r="A130" s="24"/>
      <c r="B130" s="24"/>
      <c r="C130" s="9"/>
      <c r="D130" s="25"/>
      <c r="E130" s="9"/>
      <c r="F130" s="24"/>
      <c r="G130" s="9"/>
      <c r="H130" s="9"/>
      <c r="I130" s="26"/>
      <c r="J130" s="26"/>
      <c r="K130" s="26"/>
      <c r="L130" s="24"/>
      <c r="M130" s="24"/>
      <c r="N130" s="14"/>
      <c r="O130" s="14"/>
      <c r="P130" s="27" t="str">
        <f aca="false">IF(OR(N130="",O130=""),"",O130-N130)</f>
        <v/>
      </c>
      <c r="Q130" s="28" t="str">
        <f aca="false">IF(A130="","",COUNTIF($B$5:$B$500,A130))</f>
        <v/>
      </c>
      <c r="R130" s="29" t="str">
        <f aca="false">IF(A130="","",IF(Q130&gt;0,COUNTIFS($B$5:$B$500,A130,$E$5:$E$500,"Done")/Q130,IF(E130="Done",1,0)))</f>
        <v/>
      </c>
      <c r="S130" s="30" t="str">
        <f aca="true">IF(OR(A130="",E130="Done",J130=""),"",IF(J130&lt;TODAY(),"OVERDUE",IF(J130-TODAY()&lt;=7,"Due this week","")))</f>
        <v/>
      </c>
      <c r="T130" s="25"/>
    </row>
    <row r="131" customFormat="false" ht="15" hidden="false" customHeight="false" outlineLevel="0" collapsed="false">
      <c r="A131" s="24"/>
      <c r="B131" s="24"/>
      <c r="C131" s="9"/>
      <c r="D131" s="25"/>
      <c r="E131" s="9"/>
      <c r="F131" s="24"/>
      <c r="G131" s="9"/>
      <c r="H131" s="9"/>
      <c r="I131" s="26"/>
      <c r="J131" s="26"/>
      <c r="K131" s="26"/>
      <c r="L131" s="24"/>
      <c r="M131" s="24"/>
      <c r="N131" s="14"/>
      <c r="O131" s="14"/>
      <c r="P131" s="27" t="str">
        <f aca="false">IF(OR(N131="",O131=""),"",O131-N131)</f>
        <v/>
      </c>
      <c r="Q131" s="28" t="str">
        <f aca="false">IF(A131="","",COUNTIF($B$5:$B$500,A131))</f>
        <v/>
      </c>
      <c r="R131" s="29" t="str">
        <f aca="false">IF(A131="","",IF(Q131&gt;0,COUNTIFS($B$5:$B$500,A131,$E$5:$E$500,"Done")/Q131,IF(E131="Done",1,0)))</f>
        <v/>
      </c>
      <c r="S131" s="30" t="str">
        <f aca="true">IF(OR(A131="",E131="Done",J131=""),"",IF(J131&lt;TODAY(),"OVERDUE",IF(J131-TODAY()&lt;=7,"Due this week","")))</f>
        <v/>
      </c>
      <c r="T131" s="25"/>
    </row>
    <row r="132" customFormat="false" ht="15" hidden="false" customHeight="false" outlineLevel="0" collapsed="false">
      <c r="A132" s="24"/>
      <c r="B132" s="24"/>
      <c r="C132" s="9"/>
      <c r="D132" s="25"/>
      <c r="E132" s="9"/>
      <c r="F132" s="24"/>
      <c r="G132" s="9"/>
      <c r="H132" s="9"/>
      <c r="I132" s="26"/>
      <c r="J132" s="26"/>
      <c r="K132" s="26"/>
      <c r="L132" s="24"/>
      <c r="M132" s="24"/>
      <c r="N132" s="14"/>
      <c r="O132" s="14"/>
      <c r="P132" s="27" t="str">
        <f aca="false">IF(OR(N132="",O132=""),"",O132-N132)</f>
        <v/>
      </c>
      <c r="Q132" s="28" t="str">
        <f aca="false">IF(A132="","",COUNTIF($B$5:$B$500,A132))</f>
        <v/>
      </c>
      <c r="R132" s="29" t="str">
        <f aca="false">IF(A132="","",IF(Q132&gt;0,COUNTIFS($B$5:$B$500,A132,$E$5:$E$500,"Done")/Q132,IF(E132="Done",1,0)))</f>
        <v/>
      </c>
      <c r="S132" s="30" t="str">
        <f aca="true">IF(OR(A132="",E132="Done",J132=""),"",IF(J132&lt;TODAY(),"OVERDUE",IF(J132-TODAY()&lt;=7,"Due this week","")))</f>
        <v/>
      </c>
      <c r="T132" s="25"/>
    </row>
    <row r="133" customFormat="false" ht="15" hidden="false" customHeight="false" outlineLevel="0" collapsed="false">
      <c r="A133" s="24"/>
      <c r="B133" s="24"/>
      <c r="C133" s="9"/>
      <c r="D133" s="25"/>
      <c r="E133" s="9"/>
      <c r="F133" s="24"/>
      <c r="G133" s="9"/>
      <c r="H133" s="9"/>
      <c r="I133" s="26"/>
      <c r="J133" s="26"/>
      <c r="K133" s="26"/>
      <c r="L133" s="24"/>
      <c r="M133" s="24"/>
      <c r="N133" s="14"/>
      <c r="O133" s="14"/>
      <c r="P133" s="27" t="str">
        <f aca="false">IF(OR(N133="",O133=""),"",O133-N133)</f>
        <v/>
      </c>
      <c r="Q133" s="28" t="str">
        <f aca="false">IF(A133="","",COUNTIF($B$5:$B$500,A133))</f>
        <v/>
      </c>
      <c r="R133" s="29" t="str">
        <f aca="false">IF(A133="","",IF(Q133&gt;0,COUNTIFS($B$5:$B$500,A133,$E$5:$E$500,"Done")/Q133,IF(E133="Done",1,0)))</f>
        <v/>
      </c>
      <c r="S133" s="30" t="str">
        <f aca="true">IF(OR(A133="",E133="Done",J133=""),"",IF(J133&lt;TODAY(),"OVERDUE",IF(J133-TODAY()&lt;=7,"Due this week","")))</f>
        <v/>
      </c>
      <c r="T133" s="25"/>
    </row>
    <row r="134" customFormat="false" ht="15" hidden="false" customHeight="false" outlineLevel="0" collapsed="false">
      <c r="A134" s="24"/>
      <c r="B134" s="24"/>
      <c r="C134" s="9"/>
      <c r="D134" s="25"/>
      <c r="E134" s="9"/>
      <c r="F134" s="24"/>
      <c r="G134" s="9"/>
      <c r="H134" s="9"/>
      <c r="I134" s="26"/>
      <c r="J134" s="26"/>
      <c r="K134" s="26"/>
      <c r="L134" s="24"/>
      <c r="M134" s="24"/>
      <c r="N134" s="14"/>
      <c r="O134" s="14"/>
      <c r="P134" s="27" t="str">
        <f aca="false">IF(OR(N134="",O134=""),"",O134-N134)</f>
        <v/>
      </c>
      <c r="Q134" s="28" t="str">
        <f aca="false">IF(A134="","",COUNTIF($B$5:$B$500,A134))</f>
        <v/>
      </c>
      <c r="R134" s="29" t="str">
        <f aca="false">IF(A134="","",IF(Q134&gt;0,COUNTIFS($B$5:$B$500,A134,$E$5:$E$500,"Done")/Q134,IF(E134="Done",1,0)))</f>
        <v/>
      </c>
      <c r="S134" s="30" t="str">
        <f aca="true">IF(OR(A134="",E134="Done",J134=""),"",IF(J134&lt;TODAY(),"OVERDUE",IF(J134-TODAY()&lt;=7,"Due this week","")))</f>
        <v/>
      </c>
      <c r="T134" s="25"/>
    </row>
    <row r="135" customFormat="false" ht="15" hidden="false" customHeight="false" outlineLevel="0" collapsed="false">
      <c r="A135" s="24"/>
      <c r="B135" s="24"/>
      <c r="C135" s="9"/>
      <c r="D135" s="25"/>
      <c r="E135" s="9"/>
      <c r="F135" s="24"/>
      <c r="G135" s="9"/>
      <c r="H135" s="9"/>
      <c r="I135" s="26"/>
      <c r="J135" s="26"/>
      <c r="K135" s="26"/>
      <c r="L135" s="24"/>
      <c r="M135" s="24"/>
      <c r="N135" s="14"/>
      <c r="O135" s="14"/>
      <c r="P135" s="27" t="str">
        <f aca="false">IF(OR(N135="",O135=""),"",O135-N135)</f>
        <v/>
      </c>
      <c r="Q135" s="28" t="str">
        <f aca="false">IF(A135="","",COUNTIF($B$5:$B$500,A135))</f>
        <v/>
      </c>
      <c r="R135" s="29" t="str">
        <f aca="false">IF(A135="","",IF(Q135&gt;0,COUNTIFS($B$5:$B$500,A135,$E$5:$E$500,"Done")/Q135,IF(E135="Done",1,0)))</f>
        <v/>
      </c>
      <c r="S135" s="30" t="str">
        <f aca="true">IF(OR(A135="",E135="Done",J135=""),"",IF(J135&lt;TODAY(),"OVERDUE",IF(J135-TODAY()&lt;=7,"Due this week","")))</f>
        <v/>
      </c>
      <c r="T135" s="25"/>
    </row>
    <row r="136" customFormat="false" ht="15" hidden="false" customHeight="false" outlineLevel="0" collapsed="false">
      <c r="A136" s="24"/>
      <c r="B136" s="24"/>
      <c r="C136" s="9"/>
      <c r="D136" s="25"/>
      <c r="E136" s="9"/>
      <c r="F136" s="24"/>
      <c r="G136" s="9"/>
      <c r="H136" s="9"/>
      <c r="I136" s="26"/>
      <c r="J136" s="26"/>
      <c r="K136" s="26"/>
      <c r="L136" s="24"/>
      <c r="M136" s="24"/>
      <c r="N136" s="14"/>
      <c r="O136" s="14"/>
      <c r="P136" s="27" t="str">
        <f aca="false">IF(OR(N136="",O136=""),"",O136-N136)</f>
        <v/>
      </c>
      <c r="Q136" s="28" t="str">
        <f aca="false">IF(A136="","",COUNTIF($B$5:$B$500,A136))</f>
        <v/>
      </c>
      <c r="R136" s="29" t="str">
        <f aca="false">IF(A136="","",IF(Q136&gt;0,COUNTIFS($B$5:$B$500,A136,$E$5:$E$500,"Done")/Q136,IF(E136="Done",1,0)))</f>
        <v/>
      </c>
      <c r="S136" s="30" t="str">
        <f aca="true">IF(OR(A136="",E136="Done",J136=""),"",IF(J136&lt;TODAY(),"OVERDUE",IF(J136-TODAY()&lt;=7,"Due this week","")))</f>
        <v/>
      </c>
      <c r="T136" s="25"/>
    </row>
    <row r="137" customFormat="false" ht="15" hidden="false" customHeight="false" outlineLevel="0" collapsed="false">
      <c r="A137" s="24"/>
      <c r="B137" s="24"/>
      <c r="C137" s="9"/>
      <c r="D137" s="25"/>
      <c r="E137" s="9"/>
      <c r="F137" s="24"/>
      <c r="G137" s="9"/>
      <c r="H137" s="9"/>
      <c r="I137" s="26"/>
      <c r="J137" s="26"/>
      <c r="K137" s="26"/>
      <c r="L137" s="24"/>
      <c r="M137" s="24"/>
      <c r="N137" s="14"/>
      <c r="O137" s="14"/>
      <c r="P137" s="27" t="str">
        <f aca="false">IF(OR(N137="",O137=""),"",O137-N137)</f>
        <v/>
      </c>
      <c r="Q137" s="28" t="str">
        <f aca="false">IF(A137="","",COUNTIF($B$5:$B$500,A137))</f>
        <v/>
      </c>
      <c r="R137" s="29" t="str">
        <f aca="false">IF(A137="","",IF(Q137&gt;0,COUNTIFS($B$5:$B$500,A137,$E$5:$E$500,"Done")/Q137,IF(E137="Done",1,0)))</f>
        <v/>
      </c>
      <c r="S137" s="30" t="str">
        <f aca="true">IF(OR(A137="",E137="Done",J137=""),"",IF(J137&lt;TODAY(),"OVERDUE",IF(J137-TODAY()&lt;=7,"Due this week","")))</f>
        <v/>
      </c>
      <c r="T137" s="25"/>
    </row>
    <row r="138" customFormat="false" ht="15" hidden="false" customHeight="false" outlineLevel="0" collapsed="false">
      <c r="A138" s="24"/>
      <c r="B138" s="24"/>
      <c r="C138" s="9"/>
      <c r="D138" s="25"/>
      <c r="E138" s="9"/>
      <c r="F138" s="24"/>
      <c r="G138" s="9"/>
      <c r="H138" s="9"/>
      <c r="I138" s="26"/>
      <c r="J138" s="26"/>
      <c r="K138" s="26"/>
      <c r="L138" s="24"/>
      <c r="M138" s="24"/>
      <c r="N138" s="14"/>
      <c r="O138" s="14"/>
      <c r="P138" s="27" t="str">
        <f aca="false">IF(OR(N138="",O138=""),"",O138-N138)</f>
        <v/>
      </c>
      <c r="Q138" s="28" t="str">
        <f aca="false">IF(A138="","",COUNTIF($B$5:$B$500,A138))</f>
        <v/>
      </c>
      <c r="R138" s="29" t="str">
        <f aca="false">IF(A138="","",IF(Q138&gt;0,COUNTIFS($B$5:$B$500,A138,$E$5:$E$500,"Done")/Q138,IF(E138="Done",1,0)))</f>
        <v/>
      </c>
      <c r="S138" s="30" t="str">
        <f aca="true">IF(OR(A138="",E138="Done",J138=""),"",IF(J138&lt;TODAY(),"OVERDUE",IF(J138-TODAY()&lt;=7,"Due this week","")))</f>
        <v/>
      </c>
      <c r="T138" s="25"/>
    </row>
    <row r="139" customFormat="false" ht="15" hidden="false" customHeight="false" outlineLevel="0" collapsed="false">
      <c r="A139" s="24"/>
      <c r="B139" s="24"/>
      <c r="C139" s="9"/>
      <c r="D139" s="25"/>
      <c r="E139" s="9"/>
      <c r="F139" s="24"/>
      <c r="G139" s="9"/>
      <c r="H139" s="9"/>
      <c r="I139" s="26"/>
      <c r="J139" s="26"/>
      <c r="K139" s="26"/>
      <c r="L139" s="24"/>
      <c r="M139" s="24"/>
      <c r="N139" s="14"/>
      <c r="O139" s="14"/>
      <c r="P139" s="27" t="str">
        <f aca="false">IF(OR(N139="",O139=""),"",O139-N139)</f>
        <v/>
      </c>
      <c r="Q139" s="28" t="str">
        <f aca="false">IF(A139="","",COUNTIF($B$5:$B$500,A139))</f>
        <v/>
      </c>
      <c r="R139" s="29" t="str">
        <f aca="false">IF(A139="","",IF(Q139&gt;0,COUNTIFS($B$5:$B$500,A139,$E$5:$E$500,"Done")/Q139,IF(E139="Done",1,0)))</f>
        <v/>
      </c>
      <c r="S139" s="30" t="str">
        <f aca="true">IF(OR(A139="",E139="Done",J139=""),"",IF(J139&lt;TODAY(),"OVERDUE",IF(J139-TODAY()&lt;=7,"Due this week","")))</f>
        <v/>
      </c>
      <c r="T139" s="25"/>
    </row>
    <row r="140" customFormat="false" ht="15" hidden="false" customHeight="false" outlineLevel="0" collapsed="false">
      <c r="A140" s="24"/>
      <c r="B140" s="24"/>
      <c r="C140" s="9"/>
      <c r="D140" s="25"/>
      <c r="E140" s="9"/>
      <c r="F140" s="24"/>
      <c r="G140" s="9"/>
      <c r="H140" s="9"/>
      <c r="I140" s="26"/>
      <c r="J140" s="26"/>
      <c r="K140" s="26"/>
      <c r="L140" s="24"/>
      <c r="M140" s="24"/>
      <c r="N140" s="14"/>
      <c r="O140" s="14"/>
      <c r="P140" s="27" t="str">
        <f aca="false">IF(OR(N140="",O140=""),"",O140-N140)</f>
        <v/>
      </c>
      <c r="Q140" s="28" t="str">
        <f aca="false">IF(A140="","",COUNTIF($B$5:$B$500,A140))</f>
        <v/>
      </c>
      <c r="R140" s="29" t="str">
        <f aca="false">IF(A140="","",IF(Q140&gt;0,COUNTIFS($B$5:$B$500,A140,$E$5:$E$500,"Done")/Q140,IF(E140="Done",1,0)))</f>
        <v/>
      </c>
      <c r="S140" s="30" t="str">
        <f aca="true">IF(OR(A140="",E140="Done",J140=""),"",IF(J140&lt;TODAY(),"OVERDUE",IF(J140-TODAY()&lt;=7,"Due this week","")))</f>
        <v/>
      </c>
      <c r="T140" s="25"/>
    </row>
    <row r="141" customFormat="false" ht="15" hidden="false" customHeight="false" outlineLevel="0" collapsed="false">
      <c r="A141" s="24"/>
      <c r="B141" s="24"/>
      <c r="C141" s="9"/>
      <c r="D141" s="25"/>
      <c r="E141" s="9"/>
      <c r="F141" s="24"/>
      <c r="G141" s="9"/>
      <c r="H141" s="9"/>
      <c r="I141" s="26"/>
      <c r="J141" s="26"/>
      <c r="K141" s="26"/>
      <c r="L141" s="24"/>
      <c r="M141" s="24"/>
      <c r="N141" s="14"/>
      <c r="O141" s="14"/>
      <c r="P141" s="27" t="str">
        <f aca="false">IF(OR(N141="",O141=""),"",O141-N141)</f>
        <v/>
      </c>
      <c r="Q141" s="28" t="str">
        <f aca="false">IF(A141="","",COUNTIF($B$5:$B$500,A141))</f>
        <v/>
      </c>
      <c r="R141" s="29" t="str">
        <f aca="false">IF(A141="","",IF(Q141&gt;0,COUNTIFS($B$5:$B$500,A141,$E$5:$E$500,"Done")/Q141,IF(E141="Done",1,0)))</f>
        <v/>
      </c>
      <c r="S141" s="30" t="str">
        <f aca="true">IF(OR(A141="",E141="Done",J141=""),"",IF(J141&lt;TODAY(),"OVERDUE",IF(J141-TODAY()&lt;=7,"Due this week","")))</f>
        <v/>
      </c>
      <c r="T141" s="25"/>
    </row>
    <row r="142" customFormat="false" ht="15" hidden="false" customHeight="false" outlineLevel="0" collapsed="false">
      <c r="A142" s="24"/>
      <c r="B142" s="24"/>
      <c r="C142" s="9"/>
      <c r="D142" s="25"/>
      <c r="E142" s="9"/>
      <c r="F142" s="24"/>
      <c r="G142" s="9"/>
      <c r="H142" s="9"/>
      <c r="I142" s="26"/>
      <c r="J142" s="26"/>
      <c r="K142" s="26"/>
      <c r="L142" s="24"/>
      <c r="M142" s="24"/>
      <c r="N142" s="14"/>
      <c r="O142" s="14"/>
      <c r="P142" s="27" t="str">
        <f aca="false">IF(OR(N142="",O142=""),"",O142-N142)</f>
        <v/>
      </c>
      <c r="Q142" s="28" t="str">
        <f aca="false">IF(A142="","",COUNTIF($B$5:$B$500,A142))</f>
        <v/>
      </c>
      <c r="R142" s="29" t="str">
        <f aca="false">IF(A142="","",IF(Q142&gt;0,COUNTIFS($B$5:$B$500,A142,$E$5:$E$500,"Done")/Q142,IF(E142="Done",1,0)))</f>
        <v/>
      </c>
      <c r="S142" s="30" t="str">
        <f aca="true">IF(OR(A142="",E142="Done",J142=""),"",IF(J142&lt;TODAY(),"OVERDUE",IF(J142-TODAY()&lt;=7,"Due this week","")))</f>
        <v/>
      </c>
      <c r="T142" s="25"/>
    </row>
    <row r="143" customFormat="false" ht="15" hidden="false" customHeight="false" outlineLevel="0" collapsed="false">
      <c r="A143" s="24"/>
      <c r="B143" s="24"/>
      <c r="C143" s="9"/>
      <c r="D143" s="25"/>
      <c r="E143" s="9"/>
      <c r="F143" s="24"/>
      <c r="G143" s="9"/>
      <c r="H143" s="9"/>
      <c r="I143" s="26"/>
      <c r="J143" s="26"/>
      <c r="K143" s="26"/>
      <c r="L143" s="24"/>
      <c r="M143" s="24"/>
      <c r="N143" s="14"/>
      <c r="O143" s="14"/>
      <c r="P143" s="27" t="str">
        <f aca="false">IF(OR(N143="",O143=""),"",O143-N143)</f>
        <v/>
      </c>
      <c r="Q143" s="28" t="str">
        <f aca="false">IF(A143="","",COUNTIF($B$5:$B$500,A143))</f>
        <v/>
      </c>
      <c r="R143" s="29" t="str">
        <f aca="false">IF(A143="","",IF(Q143&gt;0,COUNTIFS($B$5:$B$500,A143,$E$5:$E$500,"Done")/Q143,IF(E143="Done",1,0)))</f>
        <v/>
      </c>
      <c r="S143" s="30" t="str">
        <f aca="true">IF(OR(A143="",E143="Done",J143=""),"",IF(J143&lt;TODAY(),"OVERDUE",IF(J143-TODAY()&lt;=7,"Due this week","")))</f>
        <v/>
      </c>
      <c r="T143" s="25"/>
    </row>
    <row r="144" customFormat="false" ht="15" hidden="false" customHeight="false" outlineLevel="0" collapsed="false">
      <c r="A144" s="24"/>
      <c r="B144" s="24"/>
      <c r="C144" s="9"/>
      <c r="D144" s="25"/>
      <c r="E144" s="9"/>
      <c r="F144" s="24"/>
      <c r="G144" s="9"/>
      <c r="H144" s="9"/>
      <c r="I144" s="26"/>
      <c r="J144" s="26"/>
      <c r="K144" s="26"/>
      <c r="L144" s="24"/>
      <c r="M144" s="24"/>
      <c r="N144" s="14"/>
      <c r="O144" s="14"/>
      <c r="P144" s="27" t="str">
        <f aca="false">IF(OR(N144="",O144=""),"",O144-N144)</f>
        <v/>
      </c>
      <c r="Q144" s="28" t="str">
        <f aca="false">IF(A144="","",COUNTIF($B$5:$B$500,A144))</f>
        <v/>
      </c>
      <c r="R144" s="29" t="str">
        <f aca="false">IF(A144="","",IF(Q144&gt;0,COUNTIFS($B$5:$B$500,A144,$E$5:$E$500,"Done")/Q144,IF(E144="Done",1,0)))</f>
        <v/>
      </c>
      <c r="S144" s="30" t="str">
        <f aca="true">IF(OR(A144="",E144="Done",J144=""),"",IF(J144&lt;TODAY(),"OVERDUE",IF(J144-TODAY()&lt;=7,"Due this week","")))</f>
        <v/>
      </c>
      <c r="T144" s="25"/>
    </row>
    <row r="145" customFormat="false" ht="15" hidden="false" customHeight="false" outlineLevel="0" collapsed="false">
      <c r="A145" s="24"/>
      <c r="B145" s="24"/>
      <c r="C145" s="9"/>
      <c r="D145" s="25"/>
      <c r="E145" s="9"/>
      <c r="F145" s="24"/>
      <c r="G145" s="9"/>
      <c r="H145" s="9"/>
      <c r="I145" s="26"/>
      <c r="J145" s="26"/>
      <c r="K145" s="26"/>
      <c r="L145" s="24"/>
      <c r="M145" s="24"/>
      <c r="N145" s="14"/>
      <c r="O145" s="14"/>
      <c r="P145" s="27" t="str">
        <f aca="false">IF(OR(N145="",O145=""),"",O145-N145)</f>
        <v/>
      </c>
      <c r="Q145" s="28" t="str">
        <f aca="false">IF(A145="","",COUNTIF($B$5:$B$500,A145))</f>
        <v/>
      </c>
      <c r="R145" s="29" t="str">
        <f aca="false">IF(A145="","",IF(Q145&gt;0,COUNTIFS($B$5:$B$500,A145,$E$5:$E$500,"Done")/Q145,IF(E145="Done",1,0)))</f>
        <v/>
      </c>
      <c r="S145" s="30" t="str">
        <f aca="true">IF(OR(A145="",E145="Done",J145=""),"",IF(J145&lt;TODAY(),"OVERDUE",IF(J145-TODAY()&lt;=7,"Due this week","")))</f>
        <v/>
      </c>
      <c r="T145" s="25"/>
    </row>
    <row r="146" customFormat="false" ht="15" hidden="false" customHeight="false" outlineLevel="0" collapsed="false">
      <c r="A146" s="24"/>
      <c r="B146" s="24"/>
      <c r="C146" s="9"/>
      <c r="D146" s="25"/>
      <c r="E146" s="9"/>
      <c r="F146" s="24"/>
      <c r="G146" s="9"/>
      <c r="H146" s="9"/>
      <c r="I146" s="26"/>
      <c r="J146" s="26"/>
      <c r="K146" s="26"/>
      <c r="L146" s="24"/>
      <c r="M146" s="24"/>
      <c r="N146" s="14"/>
      <c r="O146" s="14"/>
      <c r="P146" s="27" t="str">
        <f aca="false">IF(OR(N146="",O146=""),"",O146-N146)</f>
        <v/>
      </c>
      <c r="Q146" s="28" t="str">
        <f aca="false">IF(A146="","",COUNTIF($B$5:$B$500,A146))</f>
        <v/>
      </c>
      <c r="R146" s="29" t="str">
        <f aca="false">IF(A146="","",IF(Q146&gt;0,COUNTIFS($B$5:$B$500,A146,$E$5:$E$500,"Done")/Q146,IF(E146="Done",1,0)))</f>
        <v/>
      </c>
      <c r="S146" s="30" t="str">
        <f aca="true">IF(OR(A146="",E146="Done",J146=""),"",IF(J146&lt;TODAY(),"OVERDUE",IF(J146-TODAY()&lt;=7,"Due this week","")))</f>
        <v/>
      </c>
      <c r="T146" s="25"/>
    </row>
    <row r="147" customFormat="false" ht="15" hidden="false" customHeight="false" outlineLevel="0" collapsed="false">
      <c r="A147" s="24"/>
      <c r="B147" s="24"/>
      <c r="C147" s="9"/>
      <c r="D147" s="25"/>
      <c r="E147" s="9"/>
      <c r="F147" s="24"/>
      <c r="G147" s="9"/>
      <c r="H147" s="9"/>
      <c r="I147" s="26"/>
      <c r="J147" s="26"/>
      <c r="K147" s="26"/>
      <c r="L147" s="24"/>
      <c r="M147" s="24"/>
      <c r="N147" s="14"/>
      <c r="O147" s="14"/>
      <c r="P147" s="27" t="str">
        <f aca="false">IF(OR(N147="",O147=""),"",O147-N147)</f>
        <v/>
      </c>
      <c r="Q147" s="28" t="str">
        <f aca="false">IF(A147="","",COUNTIF($B$5:$B$500,A147))</f>
        <v/>
      </c>
      <c r="R147" s="29" t="str">
        <f aca="false">IF(A147="","",IF(Q147&gt;0,COUNTIFS($B$5:$B$500,A147,$E$5:$E$500,"Done")/Q147,IF(E147="Done",1,0)))</f>
        <v/>
      </c>
      <c r="S147" s="30" t="str">
        <f aca="true">IF(OR(A147="",E147="Done",J147=""),"",IF(J147&lt;TODAY(),"OVERDUE",IF(J147-TODAY()&lt;=7,"Due this week","")))</f>
        <v/>
      </c>
      <c r="T147" s="25"/>
    </row>
    <row r="148" customFormat="false" ht="15" hidden="false" customHeight="false" outlineLevel="0" collapsed="false">
      <c r="A148" s="24"/>
      <c r="B148" s="24"/>
      <c r="C148" s="9"/>
      <c r="D148" s="25"/>
      <c r="E148" s="9"/>
      <c r="F148" s="24"/>
      <c r="G148" s="9"/>
      <c r="H148" s="9"/>
      <c r="I148" s="26"/>
      <c r="J148" s="26"/>
      <c r="K148" s="26"/>
      <c r="L148" s="24"/>
      <c r="M148" s="24"/>
      <c r="N148" s="14"/>
      <c r="O148" s="14"/>
      <c r="P148" s="27" t="str">
        <f aca="false">IF(OR(N148="",O148=""),"",O148-N148)</f>
        <v/>
      </c>
      <c r="Q148" s="28" t="str">
        <f aca="false">IF(A148="","",COUNTIF($B$5:$B$500,A148))</f>
        <v/>
      </c>
      <c r="R148" s="29" t="str">
        <f aca="false">IF(A148="","",IF(Q148&gt;0,COUNTIFS($B$5:$B$500,A148,$E$5:$E$500,"Done")/Q148,IF(E148="Done",1,0)))</f>
        <v/>
      </c>
      <c r="S148" s="30" t="str">
        <f aca="true">IF(OR(A148="",E148="Done",J148=""),"",IF(J148&lt;TODAY(),"OVERDUE",IF(J148-TODAY()&lt;=7,"Due this week","")))</f>
        <v/>
      </c>
      <c r="T148" s="25"/>
    </row>
    <row r="149" customFormat="false" ht="15" hidden="false" customHeight="false" outlineLevel="0" collapsed="false">
      <c r="A149" s="24"/>
      <c r="B149" s="24"/>
      <c r="C149" s="9"/>
      <c r="D149" s="25"/>
      <c r="E149" s="9"/>
      <c r="F149" s="24"/>
      <c r="G149" s="9"/>
      <c r="H149" s="9"/>
      <c r="I149" s="26"/>
      <c r="J149" s="26"/>
      <c r="K149" s="26"/>
      <c r="L149" s="24"/>
      <c r="M149" s="24"/>
      <c r="N149" s="14"/>
      <c r="O149" s="14"/>
      <c r="P149" s="27" t="str">
        <f aca="false">IF(OR(N149="",O149=""),"",O149-N149)</f>
        <v/>
      </c>
      <c r="Q149" s="28" t="str">
        <f aca="false">IF(A149="","",COUNTIF($B$5:$B$500,A149))</f>
        <v/>
      </c>
      <c r="R149" s="29" t="str">
        <f aca="false">IF(A149="","",IF(Q149&gt;0,COUNTIFS($B$5:$B$500,A149,$E$5:$E$500,"Done")/Q149,IF(E149="Done",1,0)))</f>
        <v/>
      </c>
      <c r="S149" s="30" t="str">
        <f aca="true">IF(OR(A149="",E149="Done",J149=""),"",IF(J149&lt;TODAY(),"OVERDUE",IF(J149-TODAY()&lt;=7,"Due this week","")))</f>
        <v/>
      </c>
      <c r="T149" s="25"/>
    </row>
    <row r="150" customFormat="false" ht="15" hidden="false" customHeight="false" outlineLevel="0" collapsed="false">
      <c r="A150" s="24"/>
      <c r="B150" s="24"/>
      <c r="C150" s="9"/>
      <c r="D150" s="25"/>
      <c r="E150" s="9"/>
      <c r="F150" s="24"/>
      <c r="G150" s="9"/>
      <c r="H150" s="9"/>
      <c r="I150" s="26"/>
      <c r="J150" s="26"/>
      <c r="K150" s="26"/>
      <c r="L150" s="24"/>
      <c r="M150" s="24"/>
      <c r="N150" s="14"/>
      <c r="O150" s="14"/>
      <c r="P150" s="27" t="str">
        <f aca="false">IF(OR(N150="",O150=""),"",O150-N150)</f>
        <v/>
      </c>
      <c r="Q150" s="28" t="str">
        <f aca="false">IF(A150="","",COUNTIF($B$5:$B$500,A150))</f>
        <v/>
      </c>
      <c r="R150" s="29" t="str">
        <f aca="false">IF(A150="","",IF(Q150&gt;0,COUNTIFS($B$5:$B$500,A150,$E$5:$E$500,"Done")/Q150,IF(E150="Done",1,0)))</f>
        <v/>
      </c>
      <c r="S150" s="30" t="str">
        <f aca="true">IF(OR(A150="",E150="Done",J150=""),"",IF(J150&lt;TODAY(),"OVERDUE",IF(J150-TODAY()&lt;=7,"Due this week","")))</f>
        <v/>
      </c>
      <c r="T150" s="25"/>
    </row>
    <row r="151" customFormat="false" ht="15" hidden="false" customHeight="false" outlineLevel="0" collapsed="false">
      <c r="A151" s="24"/>
      <c r="B151" s="24"/>
      <c r="C151" s="9"/>
      <c r="D151" s="25"/>
      <c r="E151" s="9"/>
      <c r="F151" s="24"/>
      <c r="G151" s="9"/>
      <c r="H151" s="9"/>
      <c r="I151" s="26"/>
      <c r="J151" s="26"/>
      <c r="K151" s="26"/>
      <c r="L151" s="24"/>
      <c r="M151" s="24"/>
      <c r="N151" s="14"/>
      <c r="O151" s="14"/>
      <c r="P151" s="27" t="str">
        <f aca="false">IF(OR(N151="",O151=""),"",O151-N151)</f>
        <v/>
      </c>
      <c r="Q151" s="28" t="str">
        <f aca="false">IF(A151="","",COUNTIF($B$5:$B$500,A151))</f>
        <v/>
      </c>
      <c r="R151" s="29" t="str">
        <f aca="false">IF(A151="","",IF(Q151&gt;0,COUNTIFS($B$5:$B$500,A151,$E$5:$E$500,"Done")/Q151,IF(E151="Done",1,0)))</f>
        <v/>
      </c>
      <c r="S151" s="30" t="str">
        <f aca="true">IF(OR(A151="",E151="Done",J151=""),"",IF(J151&lt;TODAY(),"OVERDUE",IF(J151-TODAY()&lt;=7,"Due this week","")))</f>
        <v/>
      </c>
      <c r="T151" s="25"/>
    </row>
    <row r="152" customFormat="false" ht="15" hidden="false" customHeight="false" outlineLevel="0" collapsed="false">
      <c r="A152" s="24"/>
      <c r="B152" s="24"/>
      <c r="C152" s="9"/>
      <c r="D152" s="25"/>
      <c r="E152" s="9"/>
      <c r="F152" s="24"/>
      <c r="G152" s="9"/>
      <c r="H152" s="9"/>
      <c r="I152" s="26"/>
      <c r="J152" s="26"/>
      <c r="K152" s="26"/>
      <c r="L152" s="24"/>
      <c r="M152" s="24"/>
      <c r="N152" s="14"/>
      <c r="O152" s="14"/>
      <c r="P152" s="27" t="str">
        <f aca="false">IF(OR(N152="",O152=""),"",O152-N152)</f>
        <v/>
      </c>
      <c r="Q152" s="28" t="str">
        <f aca="false">IF(A152="","",COUNTIF($B$5:$B$500,A152))</f>
        <v/>
      </c>
      <c r="R152" s="29" t="str">
        <f aca="false">IF(A152="","",IF(Q152&gt;0,COUNTIFS($B$5:$B$500,A152,$E$5:$E$500,"Done")/Q152,IF(E152="Done",1,0)))</f>
        <v/>
      </c>
      <c r="S152" s="30" t="str">
        <f aca="true">IF(OR(A152="",E152="Done",J152=""),"",IF(J152&lt;TODAY(),"OVERDUE",IF(J152-TODAY()&lt;=7,"Due this week","")))</f>
        <v/>
      </c>
      <c r="T152" s="25"/>
    </row>
    <row r="153" customFormat="false" ht="15" hidden="false" customHeight="false" outlineLevel="0" collapsed="false">
      <c r="A153" s="24"/>
      <c r="B153" s="24"/>
      <c r="C153" s="9"/>
      <c r="D153" s="25"/>
      <c r="E153" s="9"/>
      <c r="F153" s="24"/>
      <c r="G153" s="9"/>
      <c r="H153" s="9"/>
      <c r="I153" s="26"/>
      <c r="J153" s="26"/>
      <c r="K153" s="26"/>
      <c r="L153" s="24"/>
      <c r="M153" s="24"/>
      <c r="N153" s="14"/>
      <c r="O153" s="14"/>
      <c r="P153" s="27" t="str">
        <f aca="false">IF(OR(N153="",O153=""),"",O153-N153)</f>
        <v/>
      </c>
      <c r="Q153" s="28" t="str">
        <f aca="false">IF(A153="","",COUNTIF($B$5:$B$500,A153))</f>
        <v/>
      </c>
      <c r="R153" s="29" t="str">
        <f aca="false">IF(A153="","",IF(Q153&gt;0,COUNTIFS($B$5:$B$500,A153,$E$5:$E$500,"Done")/Q153,IF(E153="Done",1,0)))</f>
        <v/>
      </c>
      <c r="S153" s="30" t="str">
        <f aca="true">IF(OR(A153="",E153="Done",J153=""),"",IF(J153&lt;TODAY(),"OVERDUE",IF(J153-TODAY()&lt;=7,"Due this week","")))</f>
        <v/>
      </c>
      <c r="T153" s="25"/>
    </row>
    <row r="154" customFormat="false" ht="15" hidden="false" customHeight="false" outlineLevel="0" collapsed="false">
      <c r="A154" s="24"/>
      <c r="B154" s="24"/>
      <c r="C154" s="9"/>
      <c r="D154" s="25"/>
      <c r="E154" s="9"/>
      <c r="F154" s="24"/>
      <c r="G154" s="9"/>
      <c r="H154" s="9"/>
      <c r="I154" s="26"/>
      <c r="J154" s="26"/>
      <c r="K154" s="26"/>
      <c r="L154" s="24"/>
      <c r="M154" s="24"/>
      <c r="N154" s="14"/>
      <c r="O154" s="14"/>
      <c r="P154" s="27" t="str">
        <f aca="false">IF(OR(N154="",O154=""),"",O154-N154)</f>
        <v/>
      </c>
      <c r="Q154" s="28" t="str">
        <f aca="false">IF(A154="","",COUNTIF($B$5:$B$500,A154))</f>
        <v/>
      </c>
      <c r="R154" s="29" t="str">
        <f aca="false">IF(A154="","",IF(Q154&gt;0,COUNTIFS($B$5:$B$500,A154,$E$5:$E$500,"Done")/Q154,IF(E154="Done",1,0)))</f>
        <v/>
      </c>
      <c r="S154" s="30" t="str">
        <f aca="true">IF(OR(A154="",E154="Done",J154=""),"",IF(J154&lt;TODAY(),"OVERDUE",IF(J154-TODAY()&lt;=7,"Due this week","")))</f>
        <v/>
      </c>
      <c r="T154" s="25"/>
    </row>
    <row r="155" customFormat="false" ht="15" hidden="false" customHeight="false" outlineLevel="0" collapsed="false">
      <c r="A155" s="24"/>
      <c r="B155" s="24"/>
      <c r="C155" s="9"/>
      <c r="D155" s="25"/>
      <c r="E155" s="9"/>
      <c r="F155" s="24"/>
      <c r="G155" s="9"/>
      <c r="H155" s="9"/>
      <c r="I155" s="26"/>
      <c r="J155" s="26"/>
      <c r="K155" s="26"/>
      <c r="L155" s="24"/>
      <c r="M155" s="24"/>
      <c r="N155" s="14"/>
      <c r="O155" s="14"/>
      <c r="P155" s="27" t="str">
        <f aca="false">IF(OR(N155="",O155=""),"",O155-N155)</f>
        <v/>
      </c>
      <c r="Q155" s="28" t="str">
        <f aca="false">IF(A155="","",COUNTIF($B$5:$B$500,A155))</f>
        <v/>
      </c>
      <c r="R155" s="29" t="str">
        <f aca="false">IF(A155="","",IF(Q155&gt;0,COUNTIFS($B$5:$B$500,A155,$E$5:$E$500,"Done")/Q155,IF(E155="Done",1,0)))</f>
        <v/>
      </c>
      <c r="S155" s="30" t="str">
        <f aca="true">IF(OR(A155="",E155="Done",J155=""),"",IF(J155&lt;TODAY(),"OVERDUE",IF(J155-TODAY()&lt;=7,"Due this week","")))</f>
        <v/>
      </c>
      <c r="T155" s="25"/>
    </row>
    <row r="156" customFormat="false" ht="15" hidden="false" customHeight="false" outlineLevel="0" collapsed="false">
      <c r="A156" s="24"/>
      <c r="B156" s="24"/>
      <c r="C156" s="9"/>
      <c r="D156" s="25"/>
      <c r="E156" s="9"/>
      <c r="F156" s="24"/>
      <c r="G156" s="9"/>
      <c r="H156" s="9"/>
      <c r="I156" s="26"/>
      <c r="J156" s="26"/>
      <c r="K156" s="26"/>
      <c r="L156" s="24"/>
      <c r="M156" s="24"/>
      <c r="N156" s="14"/>
      <c r="O156" s="14"/>
      <c r="P156" s="27" t="str">
        <f aca="false">IF(OR(N156="",O156=""),"",O156-N156)</f>
        <v/>
      </c>
      <c r="Q156" s="28" t="str">
        <f aca="false">IF(A156="","",COUNTIF($B$5:$B$500,A156))</f>
        <v/>
      </c>
      <c r="R156" s="29" t="str">
        <f aca="false">IF(A156="","",IF(Q156&gt;0,COUNTIFS($B$5:$B$500,A156,$E$5:$E$500,"Done")/Q156,IF(E156="Done",1,0)))</f>
        <v/>
      </c>
      <c r="S156" s="30" t="str">
        <f aca="true">IF(OR(A156="",E156="Done",J156=""),"",IF(J156&lt;TODAY(),"OVERDUE",IF(J156-TODAY()&lt;=7,"Due this week","")))</f>
        <v/>
      </c>
      <c r="T156" s="25"/>
    </row>
    <row r="157" customFormat="false" ht="15" hidden="false" customHeight="false" outlineLevel="0" collapsed="false">
      <c r="A157" s="24"/>
      <c r="B157" s="24"/>
      <c r="C157" s="9"/>
      <c r="D157" s="25"/>
      <c r="E157" s="9"/>
      <c r="F157" s="24"/>
      <c r="G157" s="9"/>
      <c r="H157" s="9"/>
      <c r="I157" s="26"/>
      <c r="J157" s="26"/>
      <c r="K157" s="26"/>
      <c r="L157" s="24"/>
      <c r="M157" s="24"/>
      <c r="N157" s="14"/>
      <c r="O157" s="14"/>
      <c r="P157" s="27" t="str">
        <f aca="false">IF(OR(N157="",O157=""),"",O157-N157)</f>
        <v/>
      </c>
      <c r="Q157" s="28" t="str">
        <f aca="false">IF(A157="","",COUNTIF($B$5:$B$500,A157))</f>
        <v/>
      </c>
      <c r="R157" s="29" t="str">
        <f aca="false">IF(A157="","",IF(Q157&gt;0,COUNTIFS($B$5:$B$500,A157,$E$5:$E$500,"Done")/Q157,IF(E157="Done",1,0)))</f>
        <v/>
      </c>
      <c r="S157" s="30" t="str">
        <f aca="true">IF(OR(A157="",E157="Done",J157=""),"",IF(J157&lt;TODAY(),"OVERDUE",IF(J157-TODAY()&lt;=7,"Due this week","")))</f>
        <v/>
      </c>
      <c r="T157" s="25"/>
    </row>
    <row r="158" customFormat="false" ht="15" hidden="false" customHeight="false" outlineLevel="0" collapsed="false">
      <c r="A158" s="24"/>
      <c r="B158" s="24"/>
      <c r="C158" s="9"/>
      <c r="D158" s="25"/>
      <c r="E158" s="9"/>
      <c r="F158" s="24"/>
      <c r="G158" s="9"/>
      <c r="H158" s="9"/>
      <c r="I158" s="26"/>
      <c r="J158" s="26"/>
      <c r="K158" s="26"/>
      <c r="L158" s="24"/>
      <c r="M158" s="24"/>
      <c r="N158" s="14"/>
      <c r="O158" s="14"/>
      <c r="P158" s="27" t="str">
        <f aca="false">IF(OR(N158="",O158=""),"",O158-N158)</f>
        <v/>
      </c>
      <c r="Q158" s="28" t="str">
        <f aca="false">IF(A158="","",COUNTIF($B$5:$B$500,A158))</f>
        <v/>
      </c>
      <c r="R158" s="29" t="str">
        <f aca="false">IF(A158="","",IF(Q158&gt;0,COUNTIFS($B$5:$B$500,A158,$E$5:$E$500,"Done")/Q158,IF(E158="Done",1,0)))</f>
        <v/>
      </c>
      <c r="S158" s="30" t="str">
        <f aca="true">IF(OR(A158="",E158="Done",J158=""),"",IF(J158&lt;TODAY(),"OVERDUE",IF(J158-TODAY()&lt;=7,"Due this week","")))</f>
        <v/>
      </c>
      <c r="T158" s="25"/>
    </row>
    <row r="159" customFormat="false" ht="15" hidden="false" customHeight="false" outlineLevel="0" collapsed="false">
      <c r="A159" s="24"/>
      <c r="B159" s="24"/>
      <c r="C159" s="9"/>
      <c r="D159" s="25"/>
      <c r="E159" s="9"/>
      <c r="F159" s="24"/>
      <c r="G159" s="9"/>
      <c r="H159" s="9"/>
      <c r="I159" s="26"/>
      <c r="J159" s="26"/>
      <c r="K159" s="26"/>
      <c r="L159" s="24"/>
      <c r="M159" s="24"/>
      <c r="N159" s="14"/>
      <c r="O159" s="14"/>
      <c r="P159" s="27" t="str">
        <f aca="false">IF(OR(N159="",O159=""),"",O159-N159)</f>
        <v/>
      </c>
      <c r="Q159" s="28" t="str">
        <f aca="false">IF(A159="","",COUNTIF($B$5:$B$500,A159))</f>
        <v/>
      </c>
      <c r="R159" s="29" t="str">
        <f aca="false">IF(A159="","",IF(Q159&gt;0,COUNTIFS($B$5:$B$500,A159,$E$5:$E$500,"Done")/Q159,IF(E159="Done",1,0)))</f>
        <v/>
      </c>
      <c r="S159" s="30" t="str">
        <f aca="true">IF(OR(A159="",E159="Done",J159=""),"",IF(J159&lt;TODAY(),"OVERDUE",IF(J159-TODAY()&lt;=7,"Due this week","")))</f>
        <v/>
      </c>
      <c r="T159" s="25"/>
    </row>
    <row r="160" customFormat="false" ht="15" hidden="false" customHeight="false" outlineLevel="0" collapsed="false">
      <c r="A160" s="24"/>
      <c r="B160" s="24"/>
      <c r="C160" s="9"/>
      <c r="D160" s="25"/>
      <c r="E160" s="9"/>
      <c r="F160" s="24"/>
      <c r="G160" s="9"/>
      <c r="H160" s="9"/>
      <c r="I160" s="26"/>
      <c r="J160" s="26"/>
      <c r="K160" s="26"/>
      <c r="L160" s="24"/>
      <c r="M160" s="24"/>
      <c r="N160" s="14"/>
      <c r="O160" s="14"/>
      <c r="P160" s="27" t="str">
        <f aca="false">IF(OR(N160="",O160=""),"",O160-N160)</f>
        <v/>
      </c>
      <c r="Q160" s="28" t="str">
        <f aca="false">IF(A160="","",COUNTIF($B$5:$B$500,A160))</f>
        <v/>
      </c>
      <c r="R160" s="29" t="str">
        <f aca="false">IF(A160="","",IF(Q160&gt;0,COUNTIFS($B$5:$B$500,A160,$E$5:$E$500,"Done")/Q160,IF(E160="Done",1,0)))</f>
        <v/>
      </c>
      <c r="S160" s="30" t="str">
        <f aca="true">IF(OR(A160="",E160="Done",J160=""),"",IF(J160&lt;TODAY(),"OVERDUE",IF(J160-TODAY()&lt;=7,"Due this week","")))</f>
        <v/>
      </c>
      <c r="T160" s="25"/>
    </row>
    <row r="161" customFormat="false" ht="15" hidden="false" customHeight="false" outlineLevel="0" collapsed="false">
      <c r="A161" s="24"/>
      <c r="B161" s="24"/>
      <c r="C161" s="9"/>
      <c r="D161" s="25"/>
      <c r="E161" s="9"/>
      <c r="F161" s="24"/>
      <c r="G161" s="9"/>
      <c r="H161" s="9"/>
      <c r="I161" s="26"/>
      <c r="J161" s="26"/>
      <c r="K161" s="26"/>
      <c r="L161" s="24"/>
      <c r="M161" s="24"/>
      <c r="N161" s="14"/>
      <c r="O161" s="14"/>
      <c r="P161" s="27" t="str">
        <f aca="false">IF(OR(N161="",O161=""),"",O161-N161)</f>
        <v/>
      </c>
      <c r="Q161" s="28" t="str">
        <f aca="false">IF(A161="","",COUNTIF($B$5:$B$500,A161))</f>
        <v/>
      </c>
      <c r="R161" s="29" t="str">
        <f aca="false">IF(A161="","",IF(Q161&gt;0,COUNTIFS($B$5:$B$500,A161,$E$5:$E$500,"Done")/Q161,IF(E161="Done",1,0)))</f>
        <v/>
      </c>
      <c r="S161" s="30" t="str">
        <f aca="true">IF(OR(A161="",E161="Done",J161=""),"",IF(J161&lt;TODAY(),"OVERDUE",IF(J161-TODAY()&lt;=7,"Due this week","")))</f>
        <v/>
      </c>
      <c r="T161" s="25"/>
    </row>
    <row r="162" customFormat="false" ht="15" hidden="false" customHeight="false" outlineLevel="0" collapsed="false">
      <c r="A162" s="24"/>
      <c r="B162" s="24"/>
      <c r="C162" s="9"/>
      <c r="D162" s="25"/>
      <c r="E162" s="9"/>
      <c r="F162" s="24"/>
      <c r="G162" s="9"/>
      <c r="H162" s="9"/>
      <c r="I162" s="26"/>
      <c r="J162" s="26"/>
      <c r="K162" s="26"/>
      <c r="L162" s="24"/>
      <c r="M162" s="24"/>
      <c r="N162" s="14"/>
      <c r="O162" s="14"/>
      <c r="P162" s="27" t="str">
        <f aca="false">IF(OR(N162="",O162=""),"",O162-N162)</f>
        <v/>
      </c>
      <c r="Q162" s="28" t="str">
        <f aca="false">IF(A162="","",COUNTIF($B$5:$B$500,A162))</f>
        <v/>
      </c>
      <c r="R162" s="29" t="str">
        <f aca="false">IF(A162="","",IF(Q162&gt;0,COUNTIFS($B$5:$B$500,A162,$E$5:$E$500,"Done")/Q162,IF(E162="Done",1,0)))</f>
        <v/>
      </c>
      <c r="S162" s="30" t="str">
        <f aca="true">IF(OR(A162="",E162="Done",J162=""),"",IF(J162&lt;TODAY(),"OVERDUE",IF(J162-TODAY()&lt;=7,"Due this week","")))</f>
        <v/>
      </c>
      <c r="T162" s="25"/>
    </row>
    <row r="163" customFormat="false" ht="15" hidden="false" customHeight="false" outlineLevel="0" collapsed="false">
      <c r="A163" s="24"/>
      <c r="B163" s="24"/>
      <c r="C163" s="9"/>
      <c r="D163" s="25"/>
      <c r="E163" s="9"/>
      <c r="F163" s="24"/>
      <c r="G163" s="9"/>
      <c r="H163" s="9"/>
      <c r="I163" s="26"/>
      <c r="J163" s="26"/>
      <c r="K163" s="26"/>
      <c r="L163" s="24"/>
      <c r="M163" s="24"/>
      <c r="N163" s="14"/>
      <c r="O163" s="14"/>
      <c r="P163" s="27" t="str">
        <f aca="false">IF(OR(N163="",O163=""),"",O163-N163)</f>
        <v/>
      </c>
      <c r="Q163" s="28" t="str">
        <f aca="false">IF(A163="","",COUNTIF($B$5:$B$500,A163))</f>
        <v/>
      </c>
      <c r="R163" s="29" t="str">
        <f aca="false">IF(A163="","",IF(Q163&gt;0,COUNTIFS($B$5:$B$500,A163,$E$5:$E$500,"Done")/Q163,IF(E163="Done",1,0)))</f>
        <v/>
      </c>
      <c r="S163" s="30" t="str">
        <f aca="true">IF(OR(A163="",E163="Done",J163=""),"",IF(J163&lt;TODAY(),"OVERDUE",IF(J163-TODAY()&lt;=7,"Due this week","")))</f>
        <v/>
      </c>
      <c r="T163" s="25"/>
    </row>
    <row r="164" customFormat="false" ht="15" hidden="false" customHeight="false" outlineLevel="0" collapsed="false">
      <c r="A164" s="24"/>
      <c r="B164" s="24"/>
      <c r="C164" s="9"/>
      <c r="D164" s="25"/>
      <c r="E164" s="9"/>
      <c r="F164" s="24"/>
      <c r="G164" s="9"/>
      <c r="H164" s="9"/>
      <c r="I164" s="26"/>
      <c r="J164" s="26"/>
      <c r="K164" s="26"/>
      <c r="L164" s="24"/>
      <c r="M164" s="24"/>
      <c r="N164" s="14"/>
      <c r="O164" s="14"/>
      <c r="P164" s="27" t="str">
        <f aca="false">IF(OR(N164="",O164=""),"",O164-N164)</f>
        <v/>
      </c>
      <c r="Q164" s="28" t="str">
        <f aca="false">IF(A164="","",COUNTIF($B$5:$B$500,A164))</f>
        <v/>
      </c>
      <c r="R164" s="29" t="str">
        <f aca="false">IF(A164="","",IF(Q164&gt;0,COUNTIFS($B$5:$B$500,A164,$E$5:$E$500,"Done")/Q164,IF(E164="Done",1,0)))</f>
        <v/>
      </c>
      <c r="S164" s="30" t="str">
        <f aca="true">IF(OR(A164="",E164="Done",J164=""),"",IF(J164&lt;TODAY(),"OVERDUE",IF(J164-TODAY()&lt;=7,"Due this week","")))</f>
        <v/>
      </c>
      <c r="T164" s="25"/>
    </row>
    <row r="165" customFormat="false" ht="15" hidden="false" customHeight="false" outlineLevel="0" collapsed="false">
      <c r="A165" s="24"/>
      <c r="B165" s="24"/>
      <c r="C165" s="9"/>
      <c r="D165" s="25"/>
      <c r="E165" s="9"/>
      <c r="F165" s="24"/>
      <c r="G165" s="9"/>
      <c r="H165" s="9"/>
      <c r="I165" s="26"/>
      <c r="J165" s="26"/>
      <c r="K165" s="26"/>
      <c r="L165" s="24"/>
      <c r="M165" s="24"/>
      <c r="N165" s="14"/>
      <c r="O165" s="14"/>
      <c r="P165" s="27" t="str">
        <f aca="false">IF(OR(N165="",O165=""),"",O165-N165)</f>
        <v/>
      </c>
      <c r="Q165" s="28" t="str">
        <f aca="false">IF(A165="","",COUNTIF($B$5:$B$500,A165))</f>
        <v/>
      </c>
      <c r="R165" s="29" t="str">
        <f aca="false">IF(A165="","",IF(Q165&gt;0,COUNTIFS($B$5:$B$500,A165,$E$5:$E$500,"Done")/Q165,IF(E165="Done",1,0)))</f>
        <v/>
      </c>
      <c r="S165" s="30" t="str">
        <f aca="true">IF(OR(A165="",E165="Done",J165=""),"",IF(J165&lt;TODAY(),"OVERDUE",IF(J165-TODAY()&lt;=7,"Due this week","")))</f>
        <v/>
      </c>
      <c r="T165" s="25"/>
    </row>
    <row r="166" customFormat="false" ht="15" hidden="false" customHeight="false" outlineLevel="0" collapsed="false">
      <c r="A166" s="24"/>
      <c r="B166" s="24"/>
      <c r="C166" s="9"/>
      <c r="D166" s="25"/>
      <c r="E166" s="9"/>
      <c r="F166" s="24"/>
      <c r="G166" s="9"/>
      <c r="H166" s="9"/>
      <c r="I166" s="26"/>
      <c r="J166" s="26"/>
      <c r="K166" s="26"/>
      <c r="L166" s="24"/>
      <c r="M166" s="24"/>
      <c r="N166" s="14"/>
      <c r="O166" s="14"/>
      <c r="P166" s="27" t="str">
        <f aca="false">IF(OR(N166="",O166=""),"",O166-N166)</f>
        <v/>
      </c>
      <c r="Q166" s="28" t="str">
        <f aca="false">IF(A166="","",COUNTIF($B$5:$B$500,A166))</f>
        <v/>
      </c>
      <c r="R166" s="29" t="str">
        <f aca="false">IF(A166="","",IF(Q166&gt;0,COUNTIFS($B$5:$B$500,A166,$E$5:$E$500,"Done")/Q166,IF(E166="Done",1,0)))</f>
        <v/>
      </c>
      <c r="S166" s="30" t="str">
        <f aca="true">IF(OR(A166="",E166="Done",J166=""),"",IF(J166&lt;TODAY(),"OVERDUE",IF(J166-TODAY()&lt;=7,"Due this week","")))</f>
        <v/>
      </c>
      <c r="T166" s="25"/>
    </row>
    <row r="167" customFormat="false" ht="15" hidden="false" customHeight="false" outlineLevel="0" collapsed="false">
      <c r="A167" s="24"/>
      <c r="B167" s="24"/>
      <c r="C167" s="9"/>
      <c r="D167" s="25"/>
      <c r="E167" s="9"/>
      <c r="F167" s="24"/>
      <c r="G167" s="9"/>
      <c r="H167" s="9"/>
      <c r="I167" s="26"/>
      <c r="J167" s="26"/>
      <c r="K167" s="26"/>
      <c r="L167" s="24"/>
      <c r="M167" s="24"/>
      <c r="N167" s="14"/>
      <c r="O167" s="14"/>
      <c r="P167" s="27" t="str">
        <f aca="false">IF(OR(N167="",O167=""),"",O167-N167)</f>
        <v/>
      </c>
      <c r="Q167" s="28" t="str">
        <f aca="false">IF(A167="","",COUNTIF($B$5:$B$500,A167))</f>
        <v/>
      </c>
      <c r="R167" s="29" t="str">
        <f aca="false">IF(A167="","",IF(Q167&gt;0,COUNTIFS($B$5:$B$500,A167,$E$5:$E$500,"Done")/Q167,IF(E167="Done",1,0)))</f>
        <v/>
      </c>
      <c r="S167" s="30" t="str">
        <f aca="true">IF(OR(A167="",E167="Done",J167=""),"",IF(J167&lt;TODAY(),"OVERDUE",IF(J167-TODAY()&lt;=7,"Due this week","")))</f>
        <v/>
      </c>
      <c r="T167" s="25"/>
    </row>
    <row r="168" customFormat="false" ht="15" hidden="false" customHeight="false" outlineLevel="0" collapsed="false">
      <c r="A168" s="24"/>
      <c r="B168" s="24"/>
      <c r="C168" s="9"/>
      <c r="D168" s="25"/>
      <c r="E168" s="9"/>
      <c r="F168" s="24"/>
      <c r="G168" s="9"/>
      <c r="H168" s="9"/>
      <c r="I168" s="26"/>
      <c r="J168" s="26"/>
      <c r="K168" s="26"/>
      <c r="L168" s="24"/>
      <c r="M168" s="24"/>
      <c r="N168" s="14"/>
      <c r="O168" s="14"/>
      <c r="P168" s="27" t="str">
        <f aca="false">IF(OR(N168="",O168=""),"",O168-N168)</f>
        <v/>
      </c>
      <c r="Q168" s="28" t="str">
        <f aca="false">IF(A168="","",COUNTIF($B$5:$B$500,A168))</f>
        <v/>
      </c>
      <c r="R168" s="29" t="str">
        <f aca="false">IF(A168="","",IF(Q168&gt;0,COUNTIFS($B$5:$B$500,A168,$E$5:$E$500,"Done")/Q168,IF(E168="Done",1,0)))</f>
        <v/>
      </c>
      <c r="S168" s="30" t="str">
        <f aca="true">IF(OR(A168="",E168="Done",J168=""),"",IF(J168&lt;TODAY(),"OVERDUE",IF(J168-TODAY()&lt;=7,"Due this week","")))</f>
        <v/>
      </c>
      <c r="T168" s="25"/>
    </row>
    <row r="169" customFormat="false" ht="15" hidden="false" customHeight="false" outlineLevel="0" collapsed="false">
      <c r="A169" s="24"/>
      <c r="B169" s="24"/>
      <c r="C169" s="9"/>
      <c r="D169" s="25"/>
      <c r="E169" s="9"/>
      <c r="F169" s="24"/>
      <c r="G169" s="9"/>
      <c r="H169" s="9"/>
      <c r="I169" s="26"/>
      <c r="J169" s="26"/>
      <c r="K169" s="26"/>
      <c r="L169" s="24"/>
      <c r="M169" s="24"/>
      <c r="N169" s="14"/>
      <c r="O169" s="14"/>
      <c r="P169" s="27" t="str">
        <f aca="false">IF(OR(N169="",O169=""),"",O169-N169)</f>
        <v/>
      </c>
      <c r="Q169" s="28" t="str">
        <f aca="false">IF(A169="","",COUNTIF($B$5:$B$500,A169))</f>
        <v/>
      </c>
      <c r="R169" s="29" t="str">
        <f aca="false">IF(A169="","",IF(Q169&gt;0,COUNTIFS($B$5:$B$500,A169,$E$5:$E$500,"Done")/Q169,IF(E169="Done",1,0)))</f>
        <v/>
      </c>
      <c r="S169" s="30" t="str">
        <f aca="true">IF(OR(A169="",E169="Done",J169=""),"",IF(J169&lt;TODAY(),"OVERDUE",IF(J169-TODAY()&lt;=7,"Due this week","")))</f>
        <v/>
      </c>
      <c r="T169" s="25"/>
    </row>
    <row r="170" customFormat="false" ht="15" hidden="false" customHeight="false" outlineLevel="0" collapsed="false">
      <c r="A170" s="24"/>
      <c r="B170" s="24"/>
      <c r="C170" s="9"/>
      <c r="D170" s="25"/>
      <c r="E170" s="9"/>
      <c r="F170" s="24"/>
      <c r="G170" s="9"/>
      <c r="H170" s="9"/>
      <c r="I170" s="26"/>
      <c r="J170" s="26"/>
      <c r="K170" s="26"/>
      <c r="L170" s="24"/>
      <c r="M170" s="24"/>
      <c r="N170" s="14"/>
      <c r="O170" s="14"/>
      <c r="P170" s="27" t="str">
        <f aca="false">IF(OR(N170="",O170=""),"",O170-N170)</f>
        <v/>
      </c>
      <c r="Q170" s="28" t="str">
        <f aca="false">IF(A170="","",COUNTIF($B$5:$B$500,A170))</f>
        <v/>
      </c>
      <c r="R170" s="29" t="str">
        <f aca="false">IF(A170="","",IF(Q170&gt;0,COUNTIFS($B$5:$B$500,A170,$E$5:$E$500,"Done")/Q170,IF(E170="Done",1,0)))</f>
        <v/>
      </c>
      <c r="S170" s="30" t="str">
        <f aca="true">IF(OR(A170="",E170="Done",J170=""),"",IF(J170&lt;TODAY(),"OVERDUE",IF(J170-TODAY()&lt;=7,"Due this week","")))</f>
        <v/>
      </c>
      <c r="T170" s="25"/>
    </row>
    <row r="171" customFormat="false" ht="15" hidden="false" customHeight="false" outlineLevel="0" collapsed="false">
      <c r="A171" s="24"/>
      <c r="B171" s="24"/>
      <c r="C171" s="9"/>
      <c r="D171" s="25"/>
      <c r="E171" s="9"/>
      <c r="F171" s="24"/>
      <c r="G171" s="9"/>
      <c r="H171" s="9"/>
      <c r="I171" s="26"/>
      <c r="J171" s="26"/>
      <c r="K171" s="26"/>
      <c r="L171" s="24"/>
      <c r="M171" s="24"/>
      <c r="N171" s="14"/>
      <c r="O171" s="14"/>
      <c r="P171" s="27" t="str">
        <f aca="false">IF(OR(N171="",O171=""),"",O171-N171)</f>
        <v/>
      </c>
      <c r="Q171" s="28" t="str">
        <f aca="false">IF(A171="","",COUNTIF($B$5:$B$500,A171))</f>
        <v/>
      </c>
      <c r="R171" s="29" t="str">
        <f aca="false">IF(A171="","",IF(Q171&gt;0,COUNTIFS($B$5:$B$500,A171,$E$5:$E$500,"Done")/Q171,IF(E171="Done",1,0)))</f>
        <v/>
      </c>
      <c r="S171" s="30" t="str">
        <f aca="true">IF(OR(A171="",E171="Done",J171=""),"",IF(J171&lt;TODAY(),"OVERDUE",IF(J171-TODAY()&lt;=7,"Due this week","")))</f>
        <v/>
      </c>
      <c r="T171" s="25"/>
    </row>
    <row r="172" customFormat="false" ht="15" hidden="false" customHeight="false" outlineLevel="0" collapsed="false">
      <c r="A172" s="24"/>
      <c r="B172" s="24"/>
      <c r="C172" s="9"/>
      <c r="D172" s="25"/>
      <c r="E172" s="9"/>
      <c r="F172" s="24"/>
      <c r="G172" s="9"/>
      <c r="H172" s="9"/>
      <c r="I172" s="26"/>
      <c r="J172" s="26"/>
      <c r="K172" s="26"/>
      <c r="L172" s="24"/>
      <c r="M172" s="24"/>
      <c r="N172" s="14"/>
      <c r="O172" s="14"/>
      <c r="P172" s="27" t="str">
        <f aca="false">IF(OR(N172="",O172=""),"",O172-N172)</f>
        <v/>
      </c>
      <c r="Q172" s="28" t="str">
        <f aca="false">IF(A172="","",COUNTIF($B$5:$B$500,A172))</f>
        <v/>
      </c>
      <c r="R172" s="29" t="str">
        <f aca="false">IF(A172="","",IF(Q172&gt;0,COUNTIFS($B$5:$B$500,A172,$E$5:$E$500,"Done")/Q172,IF(E172="Done",1,0)))</f>
        <v/>
      </c>
      <c r="S172" s="30" t="str">
        <f aca="true">IF(OR(A172="",E172="Done",J172=""),"",IF(J172&lt;TODAY(),"OVERDUE",IF(J172-TODAY()&lt;=7,"Due this week","")))</f>
        <v/>
      </c>
      <c r="T172" s="25"/>
    </row>
    <row r="173" customFormat="false" ht="15" hidden="false" customHeight="false" outlineLevel="0" collapsed="false">
      <c r="A173" s="24"/>
      <c r="B173" s="24"/>
      <c r="C173" s="9"/>
      <c r="D173" s="25"/>
      <c r="E173" s="9"/>
      <c r="F173" s="24"/>
      <c r="G173" s="9"/>
      <c r="H173" s="9"/>
      <c r="I173" s="26"/>
      <c r="J173" s="26"/>
      <c r="K173" s="26"/>
      <c r="L173" s="24"/>
      <c r="M173" s="24"/>
      <c r="N173" s="14"/>
      <c r="O173" s="14"/>
      <c r="P173" s="27" t="str">
        <f aca="false">IF(OR(N173="",O173=""),"",O173-N173)</f>
        <v/>
      </c>
      <c r="Q173" s="28" t="str">
        <f aca="false">IF(A173="","",COUNTIF($B$5:$B$500,A173))</f>
        <v/>
      </c>
      <c r="R173" s="29" t="str">
        <f aca="false">IF(A173="","",IF(Q173&gt;0,COUNTIFS($B$5:$B$500,A173,$E$5:$E$500,"Done")/Q173,IF(E173="Done",1,0)))</f>
        <v/>
      </c>
      <c r="S173" s="30" t="str">
        <f aca="true">IF(OR(A173="",E173="Done",J173=""),"",IF(J173&lt;TODAY(),"OVERDUE",IF(J173-TODAY()&lt;=7,"Due this week","")))</f>
        <v/>
      </c>
      <c r="T173" s="25"/>
    </row>
    <row r="174" customFormat="false" ht="15" hidden="false" customHeight="false" outlineLevel="0" collapsed="false">
      <c r="A174" s="24"/>
      <c r="B174" s="24"/>
      <c r="C174" s="9"/>
      <c r="D174" s="25"/>
      <c r="E174" s="9"/>
      <c r="F174" s="24"/>
      <c r="G174" s="9"/>
      <c r="H174" s="9"/>
      <c r="I174" s="26"/>
      <c r="J174" s="26"/>
      <c r="K174" s="26"/>
      <c r="L174" s="24"/>
      <c r="M174" s="24"/>
      <c r="N174" s="14"/>
      <c r="O174" s="14"/>
      <c r="P174" s="27" t="str">
        <f aca="false">IF(OR(N174="",O174=""),"",O174-N174)</f>
        <v/>
      </c>
      <c r="Q174" s="28" t="str">
        <f aca="false">IF(A174="","",COUNTIF($B$5:$B$500,A174))</f>
        <v/>
      </c>
      <c r="R174" s="29" t="str">
        <f aca="false">IF(A174="","",IF(Q174&gt;0,COUNTIFS($B$5:$B$500,A174,$E$5:$E$500,"Done")/Q174,IF(E174="Done",1,0)))</f>
        <v/>
      </c>
      <c r="S174" s="30" t="str">
        <f aca="true">IF(OR(A174="",E174="Done",J174=""),"",IF(J174&lt;TODAY(),"OVERDUE",IF(J174-TODAY()&lt;=7,"Due this week","")))</f>
        <v/>
      </c>
      <c r="T174" s="25"/>
    </row>
    <row r="175" customFormat="false" ht="15" hidden="false" customHeight="false" outlineLevel="0" collapsed="false">
      <c r="A175" s="24"/>
      <c r="B175" s="24"/>
      <c r="C175" s="9"/>
      <c r="D175" s="25"/>
      <c r="E175" s="9"/>
      <c r="F175" s="24"/>
      <c r="G175" s="9"/>
      <c r="H175" s="9"/>
      <c r="I175" s="26"/>
      <c r="J175" s="26"/>
      <c r="K175" s="26"/>
      <c r="L175" s="24"/>
      <c r="M175" s="24"/>
      <c r="N175" s="14"/>
      <c r="O175" s="14"/>
      <c r="P175" s="27" t="str">
        <f aca="false">IF(OR(N175="",O175=""),"",O175-N175)</f>
        <v/>
      </c>
      <c r="Q175" s="28" t="str">
        <f aca="false">IF(A175="","",COUNTIF($B$5:$B$500,A175))</f>
        <v/>
      </c>
      <c r="R175" s="29" t="str">
        <f aca="false">IF(A175="","",IF(Q175&gt;0,COUNTIFS($B$5:$B$500,A175,$E$5:$E$500,"Done")/Q175,IF(E175="Done",1,0)))</f>
        <v/>
      </c>
      <c r="S175" s="30" t="str">
        <f aca="true">IF(OR(A175="",E175="Done",J175=""),"",IF(J175&lt;TODAY(),"OVERDUE",IF(J175-TODAY()&lt;=7,"Due this week","")))</f>
        <v/>
      </c>
      <c r="T175" s="25"/>
    </row>
    <row r="176" customFormat="false" ht="15" hidden="false" customHeight="false" outlineLevel="0" collapsed="false">
      <c r="A176" s="24"/>
      <c r="B176" s="24"/>
      <c r="C176" s="9"/>
      <c r="D176" s="25"/>
      <c r="E176" s="9"/>
      <c r="F176" s="24"/>
      <c r="G176" s="9"/>
      <c r="H176" s="9"/>
      <c r="I176" s="26"/>
      <c r="J176" s="26"/>
      <c r="K176" s="26"/>
      <c r="L176" s="24"/>
      <c r="M176" s="24"/>
      <c r="N176" s="14"/>
      <c r="O176" s="14"/>
      <c r="P176" s="27" t="str">
        <f aca="false">IF(OR(N176="",O176=""),"",O176-N176)</f>
        <v/>
      </c>
      <c r="Q176" s="28" t="str">
        <f aca="false">IF(A176="","",COUNTIF($B$5:$B$500,A176))</f>
        <v/>
      </c>
      <c r="R176" s="29" t="str">
        <f aca="false">IF(A176="","",IF(Q176&gt;0,COUNTIFS($B$5:$B$500,A176,$E$5:$E$500,"Done")/Q176,IF(E176="Done",1,0)))</f>
        <v/>
      </c>
      <c r="S176" s="30" t="str">
        <f aca="true">IF(OR(A176="",E176="Done",J176=""),"",IF(J176&lt;TODAY(),"OVERDUE",IF(J176-TODAY()&lt;=7,"Due this week","")))</f>
        <v/>
      </c>
      <c r="T176" s="25"/>
    </row>
    <row r="177" customFormat="false" ht="15" hidden="false" customHeight="false" outlineLevel="0" collapsed="false">
      <c r="A177" s="24"/>
      <c r="B177" s="24"/>
      <c r="C177" s="9"/>
      <c r="D177" s="25"/>
      <c r="E177" s="9"/>
      <c r="F177" s="24"/>
      <c r="G177" s="9"/>
      <c r="H177" s="9"/>
      <c r="I177" s="26"/>
      <c r="J177" s="26"/>
      <c r="K177" s="26"/>
      <c r="L177" s="24"/>
      <c r="M177" s="24"/>
      <c r="N177" s="14"/>
      <c r="O177" s="14"/>
      <c r="P177" s="27" t="str">
        <f aca="false">IF(OR(N177="",O177=""),"",O177-N177)</f>
        <v/>
      </c>
      <c r="Q177" s="28" t="str">
        <f aca="false">IF(A177="","",COUNTIF($B$5:$B$500,A177))</f>
        <v/>
      </c>
      <c r="R177" s="29" t="str">
        <f aca="false">IF(A177="","",IF(Q177&gt;0,COUNTIFS($B$5:$B$500,A177,$E$5:$E$500,"Done")/Q177,IF(E177="Done",1,0)))</f>
        <v/>
      </c>
      <c r="S177" s="30" t="str">
        <f aca="true">IF(OR(A177="",E177="Done",J177=""),"",IF(J177&lt;TODAY(),"OVERDUE",IF(J177-TODAY()&lt;=7,"Due this week","")))</f>
        <v/>
      </c>
      <c r="T177" s="25"/>
    </row>
    <row r="178" customFormat="false" ht="15" hidden="false" customHeight="false" outlineLevel="0" collapsed="false">
      <c r="A178" s="24"/>
      <c r="B178" s="24"/>
      <c r="C178" s="9"/>
      <c r="D178" s="25"/>
      <c r="E178" s="9"/>
      <c r="F178" s="24"/>
      <c r="G178" s="9"/>
      <c r="H178" s="9"/>
      <c r="I178" s="26"/>
      <c r="J178" s="26"/>
      <c r="K178" s="26"/>
      <c r="L178" s="24"/>
      <c r="M178" s="24"/>
      <c r="N178" s="14"/>
      <c r="O178" s="14"/>
      <c r="P178" s="27" t="str">
        <f aca="false">IF(OR(N178="",O178=""),"",O178-N178)</f>
        <v/>
      </c>
      <c r="Q178" s="28" t="str">
        <f aca="false">IF(A178="","",COUNTIF($B$5:$B$500,A178))</f>
        <v/>
      </c>
      <c r="R178" s="29" t="str">
        <f aca="false">IF(A178="","",IF(Q178&gt;0,COUNTIFS($B$5:$B$500,A178,$E$5:$E$500,"Done")/Q178,IF(E178="Done",1,0)))</f>
        <v/>
      </c>
      <c r="S178" s="30" t="str">
        <f aca="true">IF(OR(A178="",E178="Done",J178=""),"",IF(J178&lt;TODAY(),"OVERDUE",IF(J178-TODAY()&lt;=7,"Due this week","")))</f>
        <v/>
      </c>
      <c r="T178" s="25"/>
    </row>
    <row r="179" customFormat="false" ht="15" hidden="false" customHeight="false" outlineLevel="0" collapsed="false">
      <c r="A179" s="24"/>
      <c r="B179" s="24"/>
      <c r="C179" s="9"/>
      <c r="D179" s="25"/>
      <c r="E179" s="9"/>
      <c r="F179" s="24"/>
      <c r="G179" s="9"/>
      <c r="H179" s="9"/>
      <c r="I179" s="26"/>
      <c r="J179" s="26"/>
      <c r="K179" s="26"/>
      <c r="L179" s="24"/>
      <c r="M179" s="24"/>
      <c r="N179" s="14"/>
      <c r="O179" s="14"/>
      <c r="P179" s="27" t="str">
        <f aca="false">IF(OR(N179="",O179=""),"",O179-N179)</f>
        <v/>
      </c>
      <c r="Q179" s="28" t="str">
        <f aca="false">IF(A179="","",COUNTIF($B$5:$B$500,A179))</f>
        <v/>
      </c>
      <c r="R179" s="29" t="str">
        <f aca="false">IF(A179="","",IF(Q179&gt;0,COUNTIFS($B$5:$B$500,A179,$E$5:$E$500,"Done")/Q179,IF(E179="Done",1,0)))</f>
        <v/>
      </c>
      <c r="S179" s="30" t="str">
        <f aca="true">IF(OR(A179="",E179="Done",J179=""),"",IF(J179&lt;TODAY(),"OVERDUE",IF(J179-TODAY()&lt;=7,"Due this week","")))</f>
        <v/>
      </c>
      <c r="T179" s="25"/>
    </row>
    <row r="180" customFormat="false" ht="15" hidden="false" customHeight="false" outlineLevel="0" collapsed="false">
      <c r="A180" s="24"/>
      <c r="B180" s="24"/>
      <c r="C180" s="9"/>
      <c r="D180" s="25"/>
      <c r="E180" s="9"/>
      <c r="F180" s="24"/>
      <c r="G180" s="9"/>
      <c r="H180" s="9"/>
      <c r="I180" s="26"/>
      <c r="J180" s="26"/>
      <c r="K180" s="26"/>
      <c r="L180" s="24"/>
      <c r="M180" s="24"/>
      <c r="N180" s="14"/>
      <c r="O180" s="14"/>
      <c r="P180" s="27" t="str">
        <f aca="false">IF(OR(N180="",O180=""),"",O180-N180)</f>
        <v/>
      </c>
      <c r="Q180" s="28" t="str">
        <f aca="false">IF(A180="","",COUNTIF($B$5:$B$500,A180))</f>
        <v/>
      </c>
      <c r="R180" s="29" t="str">
        <f aca="false">IF(A180="","",IF(Q180&gt;0,COUNTIFS($B$5:$B$500,A180,$E$5:$E$500,"Done")/Q180,IF(E180="Done",1,0)))</f>
        <v/>
      </c>
      <c r="S180" s="30" t="str">
        <f aca="true">IF(OR(A180="",E180="Done",J180=""),"",IF(J180&lt;TODAY(),"OVERDUE",IF(J180-TODAY()&lt;=7,"Due this week","")))</f>
        <v/>
      </c>
      <c r="T180" s="25"/>
    </row>
    <row r="181" customFormat="false" ht="15" hidden="false" customHeight="false" outlineLevel="0" collapsed="false">
      <c r="A181" s="24"/>
      <c r="B181" s="24"/>
      <c r="C181" s="9"/>
      <c r="D181" s="25"/>
      <c r="E181" s="9"/>
      <c r="F181" s="24"/>
      <c r="G181" s="9"/>
      <c r="H181" s="9"/>
      <c r="I181" s="26"/>
      <c r="J181" s="26"/>
      <c r="K181" s="26"/>
      <c r="L181" s="24"/>
      <c r="M181" s="24"/>
      <c r="N181" s="14"/>
      <c r="O181" s="14"/>
      <c r="P181" s="27" t="str">
        <f aca="false">IF(OR(N181="",O181=""),"",O181-N181)</f>
        <v/>
      </c>
      <c r="Q181" s="28" t="str">
        <f aca="false">IF(A181="","",COUNTIF($B$5:$B$500,A181))</f>
        <v/>
      </c>
      <c r="R181" s="29" t="str">
        <f aca="false">IF(A181="","",IF(Q181&gt;0,COUNTIFS($B$5:$B$500,A181,$E$5:$E$500,"Done")/Q181,IF(E181="Done",1,0)))</f>
        <v/>
      </c>
      <c r="S181" s="30" t="str">
        <f aca="true">IF(OR(A181="",E181="Done",J181=""),"",IF(J181&lt;TODAY(),"OVERDUE",IF(J181-TODAY()&lt;=7,"Due this week","")))</f>
        <v/>
      </c>
      <c r="T181" s="25"/>
    </row>
    <row r="182" customFormat="false" ht="15" hidden="false" customHeight="false" outlineLevel="0" collapsed="false">
      <c r="A182" s="24"/>
      <c r="B182" s="24"/>
      <c r="C182" s="9"/>
      <c r="D182" s="25"/>
      <c r="E182" s="9"/>
      <c r="F182" s="24"/>
      <c r="G182" s="9"/>
      <c r="H182" s="9"/>
      <c r="I182" s="26"/>
      <c r="J182" s="26"/>
      <c r="K182" s="26"/>
      <c r="L182" s="24"/>
      <c r="M182" s="24"/>
      <c r="N182" s="14"/>
      <c r="O182" s="14"/>
      <c r="P182" s="27" t="str">
        <f aca="false">IF(OR(N182="",O182=""),"",O182-N182)</f>
        <v/>
      </c>
      <c r="Q182" s="28" t="str">
        <f aca="false">IF(A182="","",COUNTIF($B$5:$B$500,A182))</f>
        <v/>
      </c>
      <c r="R182" s="29" t="str">
        <f aca="false">IF(A182="","",IF(Q182&gt;0,COUNTIFS($B$5:$B$500,A182,$E$5:$E$500,"Done")/Q182,IF(E182="Done",1,0)))</f>
        <v/>
      </c>
      <c r="S182" s="30" t="str">
        <f aca="true">IF(OR(A182="",E182="Done",J182=""),"",IF(J182&lt;TODAY(),"OVERDUE",IF(J182-TODAY()&lt;=7,"Due this week","")))</f>
        <v/>
      </c>
      <c r="T182" s="25"/>
    </row>
    <row r="183" customFormat="false" ht="15" hidden="false" customHeight="false" outlineLevel="0" collapsed="false">
      <c r="A183" s="24"/>
      <c r="B183" s="24"/>
      <c r="C183" s="9"/>
      <c r="D183" s="25"/>
      <c r="E183" s="9"/>
      <c r="F183" s="24"/>
      <c r="G183" s="9"/>
      <c r="H183" s="9"/>
      <c r="I183" s="26"/>
      <c r="J183" s="26"/>
      <c r="K183" s="26"/>
      <c r="L183" s="24"/>
      <c r="M183" s="24"/>
      <c r="N183" s="14"/>
      <c r="O183" s="14"/>
      <c r="P183" s="27" t="str">
        <f aca="false">IF(OR(N183="",O183=""),"",O183-N183)</f>
        <v/>
      </c>
      <c r="Q183" s="28" t="str">
        <f aca="false">IF(A183="","",COUNTIF($B$5:$B$500,A183))</f>
        <v/>
      </c>
      <c r="R183" s="29" t="str">
        <f aca="false">IF(A183="","",IF(Q183&gt;0,COUNTIFS($B$5:$B$500,A183,$E$5:$E$500,"Done")/Q183,IF(E183="Done",1,0)))</f>
        <v/>
      </c>
      <c r="S183" s="30" t="str">
        <f aca="true">IF(OR(A183="",E183="Done",J183=""),"",IF(J183&lt;TODAY(),"OVERDUE",IF(J183-TODAY()&lt;=7,"Due this week","")))</f>
        <v/>
      </c>
      <c r="T183" s="25"/>
    </row>
    <row r="184" customFormat="false" ht="15" hidden="false" customHeight="false" outlineLevel="0" collapsed="false">
      <c r="A184" s="24"/>
      <c r="B184" s="24"/>
      <c r="C184" s="9"/>
      <c r="D184" s="25"/>
      <c r="E184" s="9"/>
      <c r="F184" s="24"/>
      <c r="G184" s="9"/>
      <c r="H184" s="9"/>
      <c r="I184" s="26"/>
      <c r="J184" s="26"/>
      <c r="K184" s="26"/>
      <c r="L184" s="24"/>
      <c r="M184" s="24"/>
      <c r="N184" s="14"/>
      <c r="O184" s="14"/>
      <c r="P184" s="27" t="str">
        <f aca="false">IF(OR(N184="",O184=""),"",O184-N184)</f>
        <v/>
      </c>
      <c r="Q184" s="28" t="str">
        <f aca="false">IF(A184="","",COUNTIF($B$5:$B$500,A184))</f>
        <v/>
      </c>
      <c r="R184" s="29" t="str">
        <f aca="false">IF(A184="","",IF(Q184&gt;0,COUNTIFS($B$5:$B$500,A184,$E$5:$E$500,"Done")/Q184,IF(E184="Done",1,0)))</f>
        <v/>
      </c>
      <c r="S184" s="30" t="str">
        <f aca="true">IF(OR(A184="",E184="Done",J184=""),"",IF(J184&lt;TODAY(),"OVERDUE",IF(J184-TODAY()&lt;=7,"Due this week","")))</f>
        <v/>
      </c>
      <c r="T184" s="25"/>
    </row>
    <row r="185" customFormat="false" ht="15" hidden="false" customHeight="false" outlineLevel="0" collapsed="false">
      <c r="A185" s="24"/>
      <c r="B185" s="24"/>
      <c r="C185" s="9"/>
      <c r="D185" s="25"/>
      <c r="E185" s="9"/>
      <c r="F185" s="24"/>
      <c r="G185" s="9"/>
      <c r="H185" s="9"/>
      <c r="I185" s="26"/>
      <c r="J185" s="26"/>
      <c r="K185" s="26"/>
      <c r="L185" s="24"/>
      <c r="M185" s="24"/>
      <c r="N185" s="14"/>
      <c r="O185" s="14"/>
      <c r="P185" s="27" t="str">
        <f aca="false">IF(OR(N185="",O185=""),"",O185-N185)</f>
        <v/>
      </c>
      <c r="Q185" s="28" t="str">
        <f aca="false">IF(A185="","",COUNTIF($B$5:$B$500,A185))</f>
        <v/>
      </c>
      <c r="R185" s="29" t="str">
        <f aca="false">IF(A185="","",IF(Q185&gt;0,COUNTIFS($B$5:$B$500,A185,$E$5:$E$500,"Done")/Q185,IF(E185="Done",1,0)))</f>
        <v/>
      </c>
      <c r="S185" s="30" t="str">
        <f aca="true">IF(OR(A185="",E185="Done",J185=""),"",IF(J185&lt;TODAY(),"OVERDUE",IF(J185-TODAY()&lt;=7,"Due this week","")))</f>
        <v/>
      </c>
      <c r="T185" s="25"/>
    </row>
    <row r="186" customFormat="false" ht="15" hidden="false" customHeight="false" outlineLevel="0" collapsed="false">
      <c r="A186" s="24"/>
      <c r="B186" s="24"/>
      <c r="C186" s="9"/>
      <c r="D186" s="25"/>
      <c r="E186" s="9"/>
      <c r="F186" s="24"/>
      <c r="G186" s="9"/>
      <c r="H186" s="9"/>
      <c r="I186" s="26"/>
      <c r="J186" s="26"/>
      <c r="K186" s="26"/>
      <c r="L186" s="24"/>
      <c r="M186" s="24"/>
      <c r="N186" s="14"/>
      <c r="O186" s="14"/>
      <c r="P186" s="27" t="str">
        <f aca="false">IF(OR(N186="",O186=""),"",O186-N186)</f>
        <v/>
      </c>
      <c r="Q186" s="28" t="str">
        <f aca="false">IF(A186="","",COUNTIF($B$5:$B$500,A186))</f>
        <v/>
      </c>
      <c r="R186" s="29" t="str">
        <f aca="false">IF(A186="","",IF(Q186&gt;0,COUNTIFS($B$5:$B$500,A186,$E$5:$E$500,"Done")/Q186,IF(E186="Done",1,0)))</f>
        <v/>
      </c>
      <c r="S186" s="30" t="str">
        <f aca="true">IF(OR(A186="",E186="Done",J186=""),"",IF(J186&lt;TODAY(),"OVERDUE",IF(J186-TODAY()&lt;=7,"Due this week","")))</f>
        <v/>
      </c>
      <c r="T186" s="25"/>
    </row>
    <row r="187" customFormat="false" ht="15" hidden="false" customHeight="false" outlineLevel="0" collapsed="false">
      <c r="A187" s="24"/>
      <c r="B187" s="24"/>
      <c r="C187" s="9"/>
      <c r="D187" s="25"/>
      <c r="E187" s="9"/>
      <c r="F187" s="24"/>
      <c r="G187" s="9"/>
      <c r="H187" s="9"/>
      <c r="I187" s="26"/>
      <c r="J187" s="26"/>
      <c r="K187" s="26"/>
      <c r="L187" s="24"/>
      <c r="M187" s="24"/>
      <c r="N187" s="14"/>
      <c r="O187" s="14"/>
      <c r="P187" s="27" t="str">
        <f aca="false">IF(OR(N187="",O187=""),"",O187-N187)</f>
        <v/>
      </c>
      <c r="Q187" s="28" t="str">
        <f aca="false">IF(A187="","",COUNTIF($B$5:$B$500,A187))</f>
        <v/>
      </c>
      <c r="R187" s="29" t="str">
        <f aca="false">IF(A187="","",IF(Q187&gt;0,COUNTIFS($B$5:$B$500,A187,$E$5:$E$500,"Done")/Q187,IF(E187="Done",1,0)))</f>
        <v/>
      </c>
      <c r="S187" s="30" t="str">
        <f aca="true">IF(OR(A187="",E187="Done",J187=""),"",IF(J187&lt;TODAY(),"OVERDUE",IF(J187-TODAY()&lt;=7,"Due this week","")))</f>
        <v/>
      </c>
      <c r="T187" s="25"/>
    </row>
    <row r="188" customFormat="false" ht="15" hidden="false" customHeight="false" outlineLevel="0" collapsed="false">
      <c r="A188" s="24"/>
      <c r="B188" s="24"/>
      <c r="C188" s="9"/>
      <c r="D188" s="25"/>
      <c r="E188" s="9"/>
      <c r="F188" s="24"/>
      <c r="G188" s="9"/>
      <c r="H188" s="9"/>
      <c r="I188" s="26"/>
      <c r="J188" s="26"/>
      <c r="K188" s="26"/>
      <c r="L188" s="24"/>
      <c r="M188" s="24"/>
      <c r="N188" s="14"/>
      <c r="O188" s="14"/>
      <c r="P188" s="27" t="str">
        <f aca="false">IF(OR(N188="",O188=""),"",O188-N188)</f>
        <v/>
      </c>
      <c r="Q188" s="28" t="str">
        <f aca="false">IF(A188="","",COUNTIF($B$5:$B$500,A188))</f>
        <v/>
      </c>
      <c r="R188" s="29" t="str">
        <f aca="false">IF(A188="","",IF(Q188&gt;0,COUNTIFS($B$5:$B$500,A188,$E$5:$E$500,"Done")/Q188,IF(E188="Done",1,0)))</f>
        <v/>
      </c>
      <c r="S188" s="30" t="str">
        <f aca="true">IF(OR(A188="",E188="Done",J188=""),"",IF(J188&lt;TODAY(),"OVERDUE",IF(J188-TODAY()&lt;=7,"Due this week","")))</f>
        <v/>
      </c>
      <c r="T188" s="25"/>
    </row>
    <row r="189" customFormat="false" ht="15" hidden="false" customHeight="false" outlineLevel="0" collapsed="false">
      <c r="A189" s="24"/>
      <c r="B189" s="24"/>
      <c r="C189" s="9"/>
      <c r="D189" s="25"/>
      <c r="E189" s="9"/>
      <c r="F189" s="24"/>
      <c r="G189" s="9"/>
      <c r="H189" s="9"/>
      <c r="I189" s="26"/>
      <c r="J189" s="26"/>
      <c r="K189" s="26"/>
      <c r="L189" s="24"/>
      <c r="M189" s="24"/>
      <c r="N189" s="14"/>
      <c r="O189" s="14"/>
      <c r="P189" s="27" t="str">
        <f aca="false">IF(OR(N189="",O189=""),"",O189-N189)</f>
        <v/>
      </c>
      <c r="Q189" s="28" t="str">
        <f aca="false">IF(A189="","",COUNTIF($B$5:$B$500,A189))</f>
        <v/>
      </c>
      <c r="R189" s="29" t="str">
        <f aca="false">IF(A189="","",IF(Q189&gt;0,COUNTIFS($B$5:$B$500,A189,$E$5:$E$500,"Done")/Q189,IF(E189="Done",1,0)))</f>
        <v/>
      </c>
      <c r="S189" s="30" t="str">
        <f aca="true">IF(OR(A189="",E189="Done",J189=""),"",IF(J189&lt;TODAY(),"OVERDUE",IF(J189-TODAY()&lt;=7,"Due this week","")))</f>
        <v/>
      </c>
      <c r="T189" s="25"/>
    </row>
    <row r="190" customFormat="false" ht="15" hidden="false" customHeight="false" outlineLevel="0" collapsed="false">
      <c r="A190" s="24"/>
      <c r="B190" s="24"/>
      <c r="C190" s="9"/>
      <c r="D190" s="25"/>
      <c r="E190" s="9"/>
      <c r="F190" s="24"/>
      <c r="G190" s="9"/>
      <c r="H190" s="9"/>
      <c r="I190" s="26"/>
      <c r="J190" s="26"/>
      <c r="K190" s="26"/>
      <c r="L190" s="24"/>
      <c r="M190" s="24"/>
      <c r="N190" s="14"/>
      <c r="O190" s="14"/>
      <c r="P190" s="27" t="str">
        <f aca="false">IF(OR(N190="",O190=""),"",O190-N190)</f>
        <v/>
      </c>
      <c r="Q190" s="28" t="str">
        <f aca="false">IF(A190="","",COUNTIF($B$5:$B$500,A190))</f>
        <v/>
      </c>
      <c r="R190" s="29" t="str">
        <f aca="false">IF(A190="","",IF(Q190&gt;0,COUNTIFS($B$5:$B$500,A190,$E$5:$E$500,"Done")/Q190,IF(E190="Done",1,0)))</f>
        <v/>
      </c>
      <c r="S190" s="30" t="str">
        <f aca="true">IF(OR(A190="",E190="Done",J190=""),"",IF(J190&lt;TODAY(),"OVERDUE",IF(J190-TODAY()&lt;=7,"Due this week","")))</f>
        <v/>
      </c>
      <c r="T190" s="25"/>
    </row>
    <row r="191" customFormat="false" ht="15" hidden="false" customHeight="false" outlineLevel="0" collapsed="false">
      <c r="A191" s="24"/>
      <c r="B191" s="24"/>
      <c r="C191" s="9"/>
      <c r="D191" s="25"/>
      <c r="E191" s="9"/>
      <c r="F191" s="24"/>
      <c r="G191" s="9"/>
      <c r="H191" s="9"/>
      <c r="I191" s="26"/>
      <c r="J191" s="26"/>
      <c r="K191" s="26"/>
      <c r="L191" s="24"/>
      <c r="M191" s="24"/>
      <c r="N191" s="14"/>
      <c r="O191" s="14"/>
      <c r="P191" s="27" t="str">
        <f aca="false">IF(OR(N191="",O191=""),"",O191-N191)</f>
        <v/>
      </c>
      <c r="Q191" s="28" t="str">
        <f aca="false">IF(A191="","",COUNTIF($B$5:$B$500,A191))</f>
        <v/>
      </c>
      <c r="R191" s="29" t="str">
        <f aca="false">IF(A191="","",IF(Q191&gt;0,COUNTIFS($B$5:$B$500,A191,$E$5:$E$500,"Done")/Q191,IF(E191="Done",1,0)))</f>
        <v/>
      </c>
      <c r="S191" s="30" t="str">
        <f aca="true">IF(OR(A191="",E191="Done",J191=""),"",IF(J191&lt;TODAY(),"OVERDUE",IF(J191-TODAY()&lt;=7,"Due this week","")))</f>
        <v/>
      </c>
      <c r="T191" s="25"/>
    </row>
    <row r="192" customFormat="false" ht="15" hidden="false" customHeight="false" outlineLevel="0" collapsed="false">
      <c r="A192" s="24"/>
      <c r="B192" s="24"/>
      <c r="C192" s="9"/>
      <c r="D192" s="25"/>
      <c r="E192" s="9"/>
      <c r="F192" s="24"/>
      <c r="G192" s="9"/>
      <c r="H192" s="9"/>
      <c r="I192" s="26"/>
      <c r="J192" s="26"/>
      <c r="K192" s="26"/>
      <c r="L192" s="24"/>
      <c r="M192" s="24"/>
      <c r="N192" s="14"/>
      <c r="O192" s="14"/>
      <c r="P192" s="27" t="str">
        <f aca="false">IF(OR(N192="",O192=""),"",O192-N192)</f>
        <v/>
      </c>
      <c r="Q192" s="28" t="str">
        <f aca="false">IF(A192="","",COUNTIF($B$5:$B$500,A192))</f>
        <v/>
      </c>
      <c r="R192" s="29" t="str">
        <f aca="false">IF(A192="","",IF(Q192&gt;0,COUNTIFS($B$5:$B$500,A192,$E$5:$E$500,"Done")/Q192,IF(E192="Done",1,0)))</f>
        <v/>
      </c>
      <c r="S192" s="30" t="str">
        <f aca="true">IF(OR(A192="",E192="Done",J192=""),"",IF(J192&lt;TODAY(),"OVERDUE",IF(J192-TODAY()&lt;=7,"Due this week","")))</f>
        <v/>
      </c>
      <c r="T192" s="25"/>
    </row>
    <row r="193" customFormat="false" ht="15" hidden="false" customHeight="false" outlineLevel="0" collapsed="false">
      <c r="A193" s="24"/>
      <c r="B193" s="24"/>
      <c r="C193" s="9"/>
      <c r="D193" s="25"/>
      <c r="E193" s="9"/>
      <c r="F193" s="24"/>
      <c r="G193" s="9"/>
      <c r="H193" s="9"/>
      <c r="I193" s="26"/>
      <c r="J193" s="26"/>
      <c r="K193" s="26"/>
      <c r="L193" s="24"/>
      <c r="M193" s="24"/>
      <c r="N193" s="14"/>
      <c r="O193" s="14"/>
      <c r="P193" s="27" t="str">
        <f aca="false">IF(OR(N193="",O193=""),"",O193-N193)</f>
        <v/>
      </c>
      <c r="Q193" s="28" t="str">
        <f aca="false">IF(A193="","",COUNTIF($B$5:$B$500,A193))</f>
        <v/>
      </c>
      <c r="R193" s="29" t="str">
        <f aca="false">IF(A193="","",IF(Q193&gt;0,COUNTIFS($B$5:$B$500,A193,$E$5:$E$500,"Done")/Q193,IF(E193="Done",1,0)))</f>
        <v/>
      </c>
      <c r="S193" s="30" t="str">
        <f aca="true">IF(OR(A193="",E193="Done",J193=""),"",IF(J193&lt;TODAY(),"OVERDUE",IF(J193-TODAY()&lt;=7,"Due this week","")))</f>
        <v/>
      </c>
      <c r="T193" s="25"/>
    </row>
    <row r="194" customFormat="false" ht="15" hidden="false" customHeight="false" outlineLevel="0" collapsed="false">
      <c r="A194" s="24"/>
      <c r="B194" s="24"/>
      <c r="C194" s="9"/>
      <c r="D194" s="25"/>
      <c r="E194" s="9"/>
      <c r="F194" s="24"/>
      <c r="G194" s="9"/>
      <c r="H194" s="9"/>
      <c r="I194" s="26"/>
      <c r="J194" s="26"/>
      <c r="K194" s="26"/>
      <c r="L194" s="24"/>
      <c r="M194" s="24"/>
      <c r="N194" s="14"/>
      <c r="O194" s="14"/>
      <c r="P194" s="27" t="str">
        <f aca="false">IF(OR(N194="",O194=""),"",O194-N194)</f>
        <v/>
      </c>
      <c r="Q194" s="28" t="str">
        <f aca="false">IF(A194="","",COUNTIF($B$5:$B$500,A194))</f>
        <v/>
      </c>
      <c r="R194" s="29" t="str">
        <f aca="false">IF(A194="","",IF(Q194&gt;0,COUNTIFS($B$5:$B$500,A194,$E$5:$E$500,"Done")/Q194,IF(E194="Done",1,0)))</f>
        <v/>
      </c>
      <c r="S194" s="30" t="str">
        <f aca="true">IF(OR(A194="",E194="Done",J194=""),"",IF(J194&lt;TODAY(),"OVERDUE",IF(J194-TODAY()&lt;=7,"Due this week","")))</f>
        <v/>
      </c>
      <c r="T194" s="25"/>
    </row>
    <row r="195" customFormat="false" ht="15" hidden="false" customHeight="false" outlineLevel="0" collapsed="false">
      <c r="A195" s="24"/>
      <c r="B195" s="24"/>
      <c r="C195" s="9"/>
      <c r="D195" s="25"/>
      <c r="E195" s="9"/>
      <c r="F195" s="24"/>
      <c r="G195" s="9"/>
      <c r="H195" s="9"/>
      <c r="I195" s="26"/>
      <c r="J195" s="26"/>
      <c r="K195" s="26"/>
      <c r="L195" s="24"/>
      <c r="M195" s="24"/>
      <c r="N195" s="14"/>
      <c r="O195" s="14"/>
      <c r="P195" s="27" t="str">
        <f aca="false">IF(OR(N195="",O195=""),"",O195-N195)</f>
        <v/>
      </c>
      <c r="Q195" s="28" t="str">
        <f aca="false">IF(A195="","",COUNTIF($B$5:$B$500,A195))</f>
        <v/>
      </c>
      <c r="R195" s="29" t="str">
        <f aca="false">IF(A195="","",IF(Q195&gt;0,COUNTIFS($B$5:$B$500,A195,$E$5:$E$500,"Done")/Q195,IF(E195="Done",1,0)))</f>
        <v/>
      </c>
      <c r="S195" s="30" t="str">
        <f aca="true">IF(OR(A195="",E195="Done",J195=""),"",IF(J195&lt;TODAY(),"OVERDUE",IF(J195-TODAY()&lt;=7,"Due this week","")))</f>
        <v/>
      </c>
      <c r="T195" s="25"/>
    </row>
    <row r="196" customFormat="false" ht="15" hidden="false" customHeight="false" outlineLevel="0" collapsed="false">
      <c r="A196" s="24"/>
      <c r="B196" s="24"/>
      <c r="C196" s="9"/>
      <c r="D196" s="25"/>
      <c r="E196" s="9"/>
      <c r="F196" s="24"/>
      <c r="G196" s="9"/>
      <c r="H196" s="9"/>
      <c r="I196" s="26"/>
      <c r="J196" s="26"/>
      <c r="K196" s="26"/>
      <c r="L196" s="24"/>
      <c r="M196" s="24"/>
      <c r="N196" s="14"/>
      <c r="O196" s="14"/>
      <c r="P196" s="27" t="str">
        <f aca="false">IF(OR(N196="",O196=""),"",O196-N196)</f>
        <v/>
      </c>
      <c r="Q196" s="28" t="str">
        <f aca="false">IF(A196="","",COUNTIF($B$5:$B$500,A196))</f>
        <v/>
      </c>
      <c r="R196" s="29" t="str">
        <f aca="false">IF(A196="","",IF(Q196&gt;0,COUNTIFS($B$5:$B$500,A196,$E$5:$E$500,"Done")/Q196,IF(E196="Done",1,0)))</f>
        <v/>
      </c>
      <c r="S196" s="30" t="str">
        <f aca="true">IF(OR(A196="",E196="Done",J196=""),"",IF(J196&lt;TODAY(),"OVERDUE",IF(J196-TODAY()&lt;=7,"Due this week","")))</f>
        <v/>
      </c>
      <c r="T196" s="25"/>
    </row>
    <row r="197" customFormat="false" ht="15" hidden="false" customHeight="false" outlineLevel="0" collapsed="false">
      <c r="A197" s="24"/>
      <c r="B197" s="24"/>
      <c r="C197" s="9"/>
      <c r="D197" s="25"/>
      <c r="E197" s="9"/>
      <c r="F197" s="24"/>
      <c r="G197" s="9"/>
      <c r="H197" s="9"/>
      <c r="I197" s="26"/>
      <c r="J197" s="26"/>
      <c r="K197" s="26"/>
      <c r="L197" s="24"/>
      <c r="M197" s="24"/>
      <c r="N197" s="14"/>
      <c r="O197" s="14"/>
      <c r="P197" s="27" t="str">
        <f aca="false">IF(OR(N197="",O197=""),"",O197-N197)</f>
        <v/>
      </c>
      <c r="Q197" s="28" t="str">
        <f aca="false">IF(A197="","",COUNTIF($B$5:$B$500,A197))</f>
        <v/>
      </c>
      <c r="R197" s="29" t="str">
        <f aca="false">IF(A197="","",IF(Q197&gt;0,COUNTIFS($B$5:$B$500,A197,$E$5:$E$500,"Done")/Q197,IF(E197="Done",1,0)))</f>
        <v/>
      </c>
      <c r="S197" s="30" t="str">
        <f aca="true">IF(OR(A197="",E197="Done",J197=""),"",IF(J197&lt;TODAY(),"OVERDUE",IF(J197-TODAY()&lt;=7,"Due this week","")))</f>
        <v/>
      </c>
      <c r="T197" s="25"/>
    </row>
    <row r="198" customFormat="false" ht="15" hidden="false" customHeight="false" outlineLevel="0" collapsed="false">
      <c r="A198" s="24"/>
      <c r="B198" s="24"/>
      <c r="C198" s="9"/>
      <c r="D198" s="25"/>
      <c r="E198" s="9"/>
      <c r="F198" s="24"/>
      <c r="G198" s="9"/>
      <c r="H198" s="9"/>
      <c r="I198" s="26"/>
      <c r="J198" s="26"/>
      <c r="K198" s="26"/>
      <c r="L198" s="24"/>
      <c r="M198" s="24"/>
      <c r="N198" s="14"/>
      <c r="O198" s="14"/>
      <c r="P198" s="27" t="str">
        <f aca="false">IF(OR(N198="",O198=""),"",O198-N198)</f>
        <v/>
      </c>
      <c r="Q198" s="28" t="str">
        <f aca="false">IF(A198="","",COUNTIF($B$5:$B$500,A198))</f>
        <v/>
      </c>
      <c r="R198" s="29" t="str">
        <f aca="false">IF(A198="","",IF(Q198&gt;0,COUNTIFS($B$5:$B$500,A198,$E$5:$E$500,"Done")/Q198,IF(E198="Done",1,0)))</f>
        <v/>
      </c>
      <c r="S198" s="30" t="str">
        <f aca="true">IF(OR(A198="",E198="Done",J198=""),"",IF(J198&lt;TODAY(),"OVERDUE",IF(J198-TODAY()&lt;=7,"Due this week","")))</f>
        <v/>
      </c>
      <c r="T198" s="25"/>
    </row>
    <row r="199" customFormat="false" ht="15" hidden="false" customHeight="false" outlineLevel="0" collapsed="false">
      <c r="A199" s="24"/>
      <c r="B199" s="24"/>
      <c r="C199" s="9"/>
      <c r="D199" s="25"/>
      <c r="E199" s="9"/>
      <c r="F199" s="24"/>
      <c r="G199" s="9"/>
      <c r="H199" s="9"/>
      <c r="I199" s="26"/>
      <c r="J199" s="26"/>
      <c r="K199" s="26"/>
      <c r="L199" s="24"/>
      <c r="M199" s="24"/>
      <c r="N199" s="14"/>
      <c r="O199" s="14"/>
      <c r="P199" s="27" t="str">
        <f aca="false">IF(OR(N199="",O199=""),"",O199-N199)</f>
        <v/>
      </c>
      <c r="Q199" s="28" t="str">
        <f aca="false">IF(A199="","",COUNTIF($B$5:$B$500,A199))</f>
        <v/>
      </c>
      <c r="R199" s="29" t="str">
        <f aca="false">IF(A199="","",IF(Q199&gt;0,COUNTIFS($B$5:$B$500,A199,$E$5:$E$500,"Done")/Q199,IF(E199="Done",1,0)))</f>
        <v/>
      </c>
      <c r="S199" s="30" t="str">
        <f aca="true">IF(OR(A199="",E199="Done",J199=""),"",IF(J199&lt;TODAY(),"OVERDUE",IF(J199-TODAY()&lt;=7,"Due this week","")))</f>
        <v/>
      </c>
      <c r="T199" s="25"/>
    </row>
    <row r="200" customFormat="false" ht="15" hidden="false" customHeight="false" outlineLevel="0" collapsed="false">
      <c r="A200" s="24"/>
      <c r="B200" s="24"/>
      <c r="C200" s="9"/>
      <c r="D200" s="25"/>
      <c r="E200" s="9"/>
      <c r="F200" s="24"/>
      <c r="G200" s="9"/>
      <c r="H200" s="9"/>
      <c r="I200" s="26"/>
      <c r="J200" s="26"/>
      <c r="K200" s="26"/>
      <c r="L200" s="24"/>
      <c r="M200" s="24"/>
      <c r="N200" s="14"/>
      <c r="O200" s="14"/>
      <c r="P200" s="27" t="str">
        <f aca="false">IF(OR(N200="",O200=""),"",O200-N200)</f>
        <v/>
      </c>
      <c r="Q200" s="28" t="str">
        <f aca="false">IF(A200="","",COUNTIF($B$5:$B$500,A200))</f>
        <v/>
      </c>
      <c r="R200" s="29" t="str">
        <f aca="false">IF(A200="","",IF(Q200&gt;0,COUNTIFS($B$5:$B$500,A200,$E$5:$E$500,"Done")/Q200,IF(E200="Done",1,0)))</f>
        <v/>
      </c>
      <c r="S200" s="30" t="str">
        <f aca="true">IF(OR(A200="",E200="Done",J200=""),"",IF(J200&lt;TODAY(),"OVERDUE",IF(J200-TODAY()&lt;=7,"Due this week","")))</f>
        <v/>
      </c>
      <c r="T200" s="25"/>
    </row>
    <row r="201" customFormat="false" ht="15" hidden="false" customHeight="false" outlineLevel="0" collapsed="false">
      <c r="A201" s="24"/>
      <c r="B201" s="24"/>
      <c r="C201" s="9"/>
      <c r="D201" s="25"/>
      <c r="E201" s="9"/>
      <c r="F201" s="24"/>
      <c r="G201" s="9"/>
      <c r="H201" s="9"/>
      <c r="I201" s="26"/>
      <c r="J201" s="26"/>
      <c r="K201" s="26"/>
      <c r="L201" s="24"/>
      <c r="M201" s="24"/>
      <c r="N201" s="14"/>
      <c r="O201" s="14"/>
      <c r="P201" s="27" t="str">
        <f aca="false">IF(OR(N201="",O201=""),"",O201-N201)</f>
        <v/>
      </c>
      <c r="Q201" s="28" t="str">
        <f aca="false">IF(A201="","",COUNTIF($B$5:$B$500,A201))</f>
        <v/>
      </c>
      <c r="R201" s="29" t="str">
        <f aca="false">IF(A201="","",IF(Q201&gt;0,COUNTIFS($B$5:$B$500,A201,$E$5:$E$500,"Done")/Q201,IF(E201="Done",1,0)))</f>
        <v/>
      </c>
      <c r="S201" s="30" t="str">
        <f aca="true">IF(OR(A201="",E201="Done",J201=""),"",IF(J201&lt;TODAY(),"OVERDUE",IF(J201-TODAY()&lt;=7,"Due this week","")))</f>
        <v/>
      </c>
      <c r="T201" s="25"/>
    </row>
    <row r="202" customFormat="false" ht="15" hidden="false" customHeight="false" outlineLevel="0" collapsed="false">
      <c r="A202" s="24"/>
      <c r="B202" s="24"/>
      <c r="C202" s="9"/>
      <c r="D202" s="25"/>
      <c r="E202" s="9"/>
      <c r="F202" s="24"/>
      <c r="G202" s="9"/>
      <c r="H202" s="9"/>
      <c r="I202" s="26"/>
      <c r="J202" s="26"/>
      <c r="K202" s="26"/>
      <c r="L202" s="24"/>
      <c r="M202" s="24"/>
      <c r="N202" s="14"/>
      <c r="O202" s="14"/>
      <c r="P202" s="27" t="str">
        <f aca="false">IF(OR(N202="",O202=""),"",O202-N202)</f>
        <v/>
      </c>
      <c r="Q202" s="28" t="str">
        <f aca="false">IF(A202="","",COUNTIF($B$5:$B$500,A202))</f>
        <v/>
      </c>
      <c r="R202" s="29" t="str">
        <f aca="false">IF(A202="","",IF(Q202&gt;0,COUNTIFS($B$5:$B$500,A202,$E$5:$E$500,"Done")/Q202,IF(E202="Done",1,0)))</f>
        <v/>
      </c>
      <c r="S202" s="30" t="str">
        <f aca="true">IF(OR(A202="",E202="Done",J202=""),"",IF(J202&lt;TODAY(),"OVERDUE",IF(J202-TODAY()&lt;=7,"Due this week","")))</f>
        <v/>
      </c>
      <c r="T202" s="25"/>
    </row>
    <row r="203" customFormat="false" ht="15" hidden="false" customHeight="false" outlineLevel="0" collapsed="false">
      <c r="A203" s="24"/>
      <c r="B203" s="24"/>
      <c r="C203" s="9"/>
      <c r="D203" s="25"/>
      <c r="E203" s="9"/>
      <c r="F203" s="24"/>
      <c r="G203" s="9"/>
      <c r="H203" s="9"/>
      <c r="I203" s="26"/>
      <c r="J203" s="26"/>
      <c r="K203" s="26"/>
      <c r="L203" s="24"/>
      <c r="M203" s="24"/>
      <c r="N203" s="14"/>
      <c r="O203" s="14"/>
      <c r="P203" s="27" t="str">
        <f aca="false">IF(OR(N203="",O203=""),"",O203-N203)</f>
        <v/>
      </c>
      <c r="Q203" s="28" t="str">
        <f aca="false">IF(A203="","",COUNTIF($B$5:$B$500,A203))</f>
        <v/>
      </c>
      <c r="R203" s="29" t="str">
        <f aca="false">IF(A203="","",IF(Q203&gt;0,COUNTIFS($B$5:$B$500,A203,$E$5:$E$500,"Done")/Q203,IF(E203="Done",1,0)))</f>
        <v/>
      </c>
      <c r="S203" s="30" t="str">
        <f aca="true">IF(OR(A203="",E203="Done",J203=""),"",IF(J203&lt;TODAY(),"OVERDUE",IF(J203-TODAY()&lt;=7,"Due this week","")))</f>
        <v/>
      </c>
      <c r="T203" s="25"/>
    </row>
    <row r="204" customFormat="false" ht="15" hidden="false" customHeight="false" outlineLevel="0" collapsed="false">
      <c r="A204" s="24"/>
      <c r="B204" s="24"/>
      <c r="C204" s="9"/>
      <c r="D204" s="25"/>
      <c r="E204" s="9"/>
      <c r="F204" s="24"/>
      <c r="G204" s="9"/>
      <c r="H204" s="9"/>
      <c r="I204" s="26"/>
      <c r="J204" s="26"/>
      <c r="K204" s="26"/>
      <c r="L204" s="24"/>
      <c r="M204" s="24"/>
      <c r="N204" s="14"/>
      <c r="O204" s="14"/>
      <c r="P204" s="27" t="str">
        <f aca="false">IF(OR(N204="",O204=""),"",O204-N204)</f>
        <v/>
      </c>
      <c r="Q204" s="28" t="str">
        <f aca="false">IF(A204="","",COUNTIF($B$5:$B$500,A204))</f>
        <v/>
      </c>
      <c r="R204" s="29" t="str">
        <f aca="false">IF(A204="","",IF(Q204&gt;0,COUNTIFS($B$5:$B$500,A204,$E$5:$E$500,"Done")/Q204,IF(E204="Done",1,0)))</f>
        <v/>
      </c>
      <c r="S204" s="30" t="str">
        <f aca="true">IF(OR(A204="",E204="Done",J204=""),"",IF(J204&lt;TODAY(),"OVERDUE",IF(J204-TODAY()&lt;=7,"Due this week","")))</f>
        <v/>
      </c>
      <c r="T204" s="25"/>
    </row>
    <row r="205" customFormat="false" ht="15" hidden="false" customHeight="false" outlineLevel="0" collapsed="false">
      <c r="A205" s="24"/>
      <c r="B205" s="24"/>
      <c r="C205" s="9"/>
      <c r="D205" s="25"/>
      <c r="E205" s="9"/>
      <c r="F205" s="24"/>
      <c r="G205" s="9"/>
      <c r="H205" s="9"/>
      <c r="I205" s="26"/>
      <c r="J205" s="26"/>
      <c r="K205" s="26"/>
      <c r="L205" s="24"/>
      <c r="M205" s="24"/>
      <c r="N205" s="14"/>
      <c r="O205" s="14"/>
      <c r="P205" s="27" t="str">
        <f aca="false">IF(OR(N205="",O205=""),"",O205-N205)</f>
        <v/>
      </c>
      <c r="Q205" s="28" t="str">
        <f aca="false">IF(A205="","",COUNTIF($B$5:$B$500,A205))</f>
        <v/>
      </c>
      <c r="R205" s="29" t="str">
        <f aca="false">IF(A205="","",IF(Q205&gt;0,COUNTIFS($B$5:$B$500,A205,$E$5:$E$500,"Done")/Q205,IF(E205="Done",1,0)))</f>
        <v/>
      </c>
      <c r="S205" s="30" t="str">
        <f aca="true">IF(OR(A205="",E205="Done",J205=""),"",IF(J205&lt;TODAY(),"OVERDUE",IF(J205-TODAY()&lt;=7,"Due this week","")))</f>
        <v/>
      </c>
      <c r="T205" s="25"/>
    </row>
    <row r="206" customFormat="false" ht="15" hidden="false" customHeight="false" outlineLevel="0" collapsed="false">
      <c r="A206" s="24"/>
      <c r="B206" s="24"/>
      <c r="C206" s="9"/>
      <c r="D206" s="25"/>
      <c r="E206" s="9"/>
      <c r="F206" s="24"/>
      <c r="G206" s="9"/>
      <c r="H206" s="9"/>
      <c r="I206" s="26"/>
      <c r="J206" s="26"/>
      <c r="K206" s="26"/>
      <c r="L206" s="24"/>
      <c r="M206" s="24"/>
      <c r="N206" s="14"/>
      <c r="O206" s="14"/>
      <c r="P206" s="27" t="str">
        <f aca="false">IF(OR(N206="",O206=""),"",O206-N206)</f>
        <v/>
      </c>
      <c r="Q206" s="28" t="str">
        <f aca="false">IF(A206="","",COUNTIF($B$5:$B$500,A206))</f>
        <v/>
      </c>
      <c r="R206" s="29" t="str">
        <f aca="false">IF(A206="","",IF(Q206&gt;0,COUNTIFS($B$5:$B$500,A206,$E$5:$E$500,"Done")/Q206,IF(E206="Done",1,0)))</f>
        <v/>
      </c>
      <c r="S206" s="30" t="str">
        <f aca="true">IF(OR(A206="",E206="Done",J206=""),"",IF(J206&lt;TODAY(),"OVERDUE",IF(J206-TODAY()&lt;=7,"Due this week","")))</f>
        <v/>
      </c>
      <c r="T206" s="25"/>
    </row>
    <row r="207" customFormat="false" ht="15" hidden="false" customHeight="false" outlineLevel="0" collapsed="false">
      <c r="A207" s="24"/>
      <c r="B207" s="24"/>
      <c r="C207" s="9"/>
      <c r="D207" s="25"/>
      <c r="E207" s="9"/>
      <c r="F207" s="24"/>
      <c r="G207" s="9"/>
      <c r="H207" s="9"/>
      <c r="I207" s="26"/>
      <c r="J207" s="26"/>
      <c r="K207" s="26"/>
      <c r="L207" s="24"/>
      <c r="M207" s="24"/>
      <c r="N207" s="14"/>
      <c r="O207" s="14"/>
      <c r="P207" s="27" t="str">
        <f aca="false">IF(OR(N207="",O207=""),"",O207-N207)</f>
        <v/>
      </c>
      <c r="Q207" s="28" t="str">
        <f aca="false">IF(A207="","",COUNTIF($B$5:$B$500,A207))</f>
        <v/>
      </c>
      <c r="R207" s="29" t="str">
        <f aca="false">IF(A207="","",IF(Q207&gt;0,COUNTIFS($B$5:$B$500,A207,$E$5:$E$500,"Done")/Q207,IF(E207="Done",1,0)))</f>
        <v/>
      </c>
      <c r="S207" s="30" t="str">
        <f aca="true">IF(OR(A207="",E207="Done",J207=""),"",IF(J207&lt;TODAY(),"OVERDUE",IF(J207-TODAY()&lt;=7,"Due this week","")))</f>
        <v/>
      </c>
      <c r="T207" s="25"/>
    </row>
    <row r="208" customFormat="false" ht="15" hidden="false" customHeight="false" outlineLevel="0" collapsed="false">
      <c r="A208" s="24"/>
      <c r="B208" s="24"/>
      <c r="C208" s="9"/>
      <c r="D208" s="25"/>
      <c r="E208" s="9"/>
      <c r="F208" s="24"/>
      <c r="G208" s="9"/>
      <c r="H208" s="9"/>
      <c r="I208" s="26"/>
      <c r="J208" s="26"/>
      <c r="K208" s="26"/>
      <c r="L208" s="24"/>
      <c r="M208" s="24"/>
      <c r="N208" s="14"/>
      <c r="O208" s="14"/>
      <c r="P208" s="27" t="str">
        <f aca="false">IF(OR(N208="",O208=""),"",O208-N208)</f>
        <v/>
      </c>
      <c r="Q208" s="28" t="str">
        <f aca="false">IF(A208="","",COUNTIF($B$5:$B$500,A208))</f>
        <v/>
      </c>
      <c r="R208" s="29" t="str">
        <f aca="false">IF(A208="","",IF(Q208&gt;0,COUNTIFS($B$5:$B$500,A208,$E$5:$E$500,"Done")/Q208,IF(E208="Done",1,0)))</f>
        <v/>
      </c>
      <c r="S208" s="30" t="str">
        <f aca="true">IF(OR(A208="",E208="Done",J208=""),"",IF(J208&lt;TODAY(),"OVERDUE",IF(J208-TODAY()&lt;=7,"Due this week","")))</f>
        <v/>
      </c>
      <c r="T208" s="25"/>
    </row>
    <row r="209" customFormat="false" ht="15" hidden="false" customHeight="false" outlineLevel="0" collapsed="false">
      <c r="A209" s="24"/>
      <c r="B209" s="24"/>
      <c r="C209" s="9"/>
      <c r="D209" s="25"/>
      <c r="E209" s="9"/>
      <c r="F209" s="24"/>
      <c r="G209" s="9"/>
      <c r="H209" s="9"/>
      <c r="I209" s="26"/>
      <c r="J209" s="26"/>
      <c r="K209" s="26"/>
      <c r="L209" s="24"/>
      <c r="M209" s="24"/>
      <c r="N209" s="14"/>
      <c r="O209" s="14"/>
      <c r="P209" s="27" t="str">
        <f aca="false">IF(OR(N209="",O209=""),"",O209-N209)</f>
        <v/>
      </c>
      <c r="Q209" s="28" t="str">
        <f aca="false">IF(A209="","",COUNTIF($B$5:$B$500,A209))</f>
        <v/>
      </c>
      <c r="R209" s="29" t="str">
        <f aca="false">IF(A209="","",IF(Q209&gt;0,COUNTIFS($B$5:$B$500,A209,$E$5:$E$500,"Done")/Q209,IF(E209="Done",1,0)))</f>
        <v/>
      </c>
      <c r="S209" s="30" t="str">
        <f aca="true">IF(OR(A209="",E209="Done",J209=""),"",IF(J209&lt;TODAY(),"OVERDUE",IF(J209-TODAY()&lt;=7,"Due this week","")))</f>
        <v/>
      </c>
      <c r="T209" s="25"/>
    </row>
    <row r="210" customFormat="false" ht="15" hidden="false" customHeight="false" outlineLevel="0" collapsed="false">
      <c r="A210" s="24"/>
      <c r="B210" s="24"/>
      <c r="C210" s="9"/>
      <c r="D210" s="25"/>
      <c r="E210" s="9"/>
      <c r="F210" s="24"/>
      <c r="G210" s="9"/>
      <c r="H210" s="9"/>
      <c r="I210" s="26"/>
      <c r="J210" s="26"/>
      <c r="K210" s="26"/>
      <c r="L210" s="24"/>
      <c r="M210" s="24"/>
      <c r="N210" s="14"/>
      <c r="O210" s="14"/>
      <c r="P210" s="27" t="str">
        <f aca="false">IF(OR(N210="",O210=""),"",O210-N210)</f>
        <v/>
      </c>
      <c r="Q210" s="28" t="str">
        <f aca="false">IF(A210="","",COUNTIF($B$5:$B$500,A210))</f>
        <v/>
      </c>
      <c r="R210" s="29" t="str">
        <f aca="false">IF(A210="","",IF(Q210&gt;0,COUNTIFS($B$5:$B$500,A210,$E$5:$E$500,"Done")/Q210,IF(E210="Done",1,0)))</f>
        <v/>
      </c>
      <c r="S210" s="30" t="str">
        <f aca="true">IF(OR(A210="",E210="Done",J210=""),"",IF(J210&lt;TODAY(),"OVERDUE",IF(J210-TODAY()&lt;=7,"Due this week","")))</f>
        <v/>
      </c>
      <c r="T210" s="25"/>
    </row>
    <row r="211" customFormat="false" ht="15" hidden="false" customHeight="false" outlineLevel="0" collapsed="false">
      <c r="A211" s="24"/>
      <c r="B211" s="24"/>
      <c r="C211" s="9"/>
      <c r="D211" s="25"/>
      <c r="E211" s="9"/>
      <c r="F211" s="24"/>
      <c r="G211" s="9"/>
      <c r="H211" s="9"/>
      <c r="I211" s="26"/>
      <c r="J211" s="26"/>
      <c r="K211" s="26"/>
      <c r="L211" s="24"/>
      <c r="M211" s="24"/>
      <c r="N211" s="14"/>
      <c r="O211" s="14"/>
      <c r="P211" s="27" t="str">
        <f aca="false">IF(OR(N211="",O211=""),"",O211-N211)</f>
        <v/>
      </c>
      <c r="Q211" s="28" t="str">
        <f aca="false">IF(A211="","",COUNTIF($B$5:$B$500,A211))</f>
        <v/>
      </c>
      <c r="R211" s="29" t="str">
        <f aca="false">IF(A211="","",IF(Q211&gt;0,COUNTIFS($B$5:$B$500,A211,$E$5:$E$500,"Done")/Q211,IF(E211="Done",1,0)))</f>
        <v/>
      </c>
      <c r="S211" s="30" t="str">
        <f aca="true">IF(OR(A211="",E211="Done",J211=""),"",IF(J211&lt;TODAY(),"OVERDUE",IF(J211-TODAY()&lt;=7,"Due this week","")))</f>
        <v/>
      </c>
      <c r="T211" s="25"/>
    </row>
    <row r="212" customFormat="false" ht="15" hidden="false" customHeight="false" outlineLevel="0" collapsed="false">
      <c r="A212" s="24"/>
      <c r="B212" s="24"/>
      <c r="C212" s="9"/>
      <c r="D212" s="25"/>
      <c r="E212" s="9"/>
      <c r="F212" s="24"/>
      <c r="G212" s="9"/>
      <c r="H212" s="9"/>
      <c r="I212" s="26"/>
      <c r="J212" s="26"/>
      <c r="K212" s="26"/>
      <c r="L212" s="24"/>
      <c r="M212" s="24"/>
      <c r="N212" s="14"/>
      <c r="O212" s="14"/>
      <c r="P212" s="27" t="str">
        <f aca="false">IF(OR(N212="",O212=""),"",O212-N212)</f>
        <v/>
      </c>
      <c r="Q212" s="28" t="str">
        <f aca="false">IF(A212="","",COUNTIF($B$5:$B$500,A212))</f>
        <v/>
      </c>
      <c r="R212" s="29" t="str">
        <f aca="false">IF(A212="","",IF(Q212&gt;0,COUNTIFS($B$5:$B$500,A212,$E$5:$E$500,"Done")/Q212,IF(E212="Done",1,0)))</f>
        <v/>
      </c>
      <c r="S212" s="30" t="str">
        <f aca="true">IF(OR(A212="",E212="Done",J212=""),"",IF(J212&lt;TODAY(),"OVERDUE",IF(J212-TODAY()&lt;=7,"Due this week","")))</f>
        <v/>
      </c>
      <c r="T212" s="25"/>
    </row>
    <row r="213" customFormat="false" ht="15" hidden="false" customHeight="false" outlineLevel="0" collapsed="false">
      <c r="A213" s="24"/>
      <c r="B213" s="24"/>
      <c r="C213" s="9"/>
      <c r="D213" s="25"/>
      <c r="E213" s="9"/>
      <c r="F213" s="24"/>
      <c r="G213" s="9"/>
      <c r="H213" s="9"/>
      <c r="I213" s="26"/>
      <c r="J213" s="26"/>
      <c r="K213" s="26"/>
      <c r="L213" s="24"/>
      <c r="M213" s="24"/>
      <c r="N213" s="14"/>
      <c r="O213" s="14"/>
      <c r="P213" s="27" t="str">
        <f aca="false">IF(OR(N213="",O213=""),"",O213-N213)</f>
        <v/>
      </c>
      <c r="Q213" s="28" t="str">
        <f aca="false">IF(A213="","",COUNTIF($B$5:$B$500,A213))</f>
        <v/>
      </c>
      <c r="R213" s="29" t="str">
        <f aca="false">IF(A213="","",IF(Q213&gt;0,COUNTIFS($B$5:$B$500,A213,$E$5:$E$500,"Done")/Q213,IF(E213="Done",1,0)))</f>
        <v/>
      </c>
      <c r="S213" s="30" t="str">
        <f aca="true">IF(OR(A213="",E213="Done",J213=""),"",IF(J213&lt;TODAY(),"OVERDUE",IF(J213-TODAY()&lt;=7,"Due this week","")))</f>
        <v/>
      </c>
      <c r="T213" s="25"/>
    </row>
    <row r="214" customFormat="false" ht="15" hidden="false" customHeight="false" outlineLevel="0" collapsed="false">
      <c r="A214" s="24"/>
      <c r="B214" s="24"/>
      <c r="C214" s="9"/>
      <c r="D214" s="25"/>
      <c r="E214" s="9"/>
      <c r="F214" s="24"/>
      <c r="G214" s="9"/>
      <c r="H214" s="9"/>
      <c r="I214" s="26"/>
      <c r="J214" s="26"/>
      <c r="K214" s="26"/>
      <c r="L214" s="24"/>
      <c r="M214" s="24"/>
      <c r="N214" s="14"/>
      <c r="O214" s="14"/>
      <c r="P214" s="27" t="str">
        <f aca="false">IF(OR(N214="",O214=""),"",O214-N214)</f>
        <v/>
      </c>
      <c r="Q214" s="28" t="str">
        <f aca="false">IF(A214="","",COUNTIF($B$5:$B$500,A214))</f>
        <v/>
      </c>
      <c r="R214" s="29" t="str">
        <f aca="false">IF(A214="","",IF(Q214&gt;0,COUNTIFS($B$5:$B$500,A214,$E$5:$E$500,"Done")/Q214,IF(E214="Done",1,0)))</f>
        <v/>
      </c>
      <c r="S214" s="30" t="str">
        <f aca="true">IF(OR(A214="",E214="Done",J214=""),"",IF(J214&lt;TODAY(),"OVERDUE",IF(J214-TODAY()&lt;=7,"Due this week","")))</f>
        <v/>
      </c>
      <c r="T214" s="25"/>
    </row>
    <row r="215" customFormat="false" ht="15" hidden="false" customHeight="false" outlineLevel="0" collapsed="false">
      <c r="A215" s="24"/>
      <c r="B215" s="24"/>
      <c r="C215" s="9"/>
      <c r="D215" s="25"/>
      <c r="E215" s="9"/>
      <c r="F215" s="24"/>
      <c r="G215" s="9"/>
      <c r="H215" s="9"/>
      <c r="I215" s="26"/>
      <c r="J215" s="26"/>
      <c r="K215" s="26"/>
      <c r="L215" s="24"/>
      <c r="M215" s="24"/>
      <c r="N215" s="14"/>
      <c r="O215" s="14"/>
      <c r="P215" s="27" t="str">
        <f aca="false">IF(OR(N215="",O215=""),"",O215-N215)</f>
        <v/>
      </c>
      <c r="Q215" s="28" t="str">
        <f aca="false">IF(A215="","",COUNTIF($B$5:$B$500,A215))</f>
        <v/>
      </c>
      <c r="R215" s="29" t="str">
        <f aca="false">IF(A215="","",IF(Q215&gt;0,COUNTIFS($B$5:$B$500,A215,$E$5:$E$500,"Done")/Q215,IF(E215="Done",1,0)))</f>
        <v/>
      </c>
      <c r="S215" s="30" t="str">
        <f aca="true">IF(OR(A215="",E215="Done",J215=""),"",IF(J215&lt;TODAY(),"OVERDUE",IF(J215-TODAY()&lt;=7,"Due this week","")))</f>
        <v/>
      </c>
      <c r="T215" s="25"/>
    </row>
    <row r="216" customFormat="false" ht="15" hidden="false" customHeight="false" outlineLevel="0" collapsed="false">
      <c r="A216" s="24"/>
      <c r="B216" s="24"/>
      <c r="C216" s="9"/>
      <c r="D216" s="25"/>
      <c r="E216" s="9"/>
      <c r="F216" s="24"/>
      <c r="G216" s="9"/>
      <c r="H216" s="9"/>
      <c r="I216" s="26"/>
      <c r="J216" s="26"/>
      <c r="K216" s="26"/>
      <c r="L216" s="24"/>
      <c r="M216" s="24"/>
      <c r="N216" s="14"/>
      <c r="O216" s="14"/>
      <c r="P216" s="27" t="str">
        <f aca="false">IF(OR(N216="",O216=""),"",O216-N216)</f>
        <v/>
      </c>
      <c r="Q216" s="28" t="str">
        <f aca="false">IF(A216="","",COUNTIF($B$5:$B$500,A216))</f>
        <v/>
      </c>
      <c r="R216" s="29" t="str">
        <f aca="false">IF(A216="","",IF(Q216&gt;0,COUNTIFS($B$5:$B$500,A216,$E$5:$E$500,"Done")/Q216,IF(E216="Done",1,0)))</f>
        <v/>
      </c>
      <c r="S216" s="30" t="str">
        <f aca="true">IF(OR(A216="",E216="Done",J216=""),"",IF(J216&lt;TODAY(),"OVERDUE",IF(J216-TODAY()&lt;=7,"Due this week","")))</f>
        <v/>
      </c>
      <c r="T216" s="25"/>
    </row>
    <row r="217" customFormat="false" ht="15" hidden="false" customHeight="false" outlineLevel="0" collapsed="false">
      <c r="A217" s="24"/>
      <c r="B217" s="24"/>
      <c r="C217" s="9"/>
      <c r="D217" s="25"/>
      <c r="E217" s="9"/>
      <c r="F217" s="24"/>
      <c r="G217" s="9"/>
      <c r="H217" s="9"/>
      <c r="I217" s="26"/>
      <c r="J217" s="26"/>
      <c r="K217" s="26"/>
      <c r="L217" s="24"/>
      <c r="M217" s="24"/>
      <c r="N217" s="14"/>
      <c r="O217" s="14"/>
      <c r="P217" s="27" t="str">
        <f aca="false">IF(OR(N217="",O217=""),"",O217-N217)</f>
        <v/>
      </c>
      <c r="Q217" s="28" t="str">
        <f aca="false">IF(A217="","",COUNTIF($B$5:$B$500,A217))</f>
        <v/>
      </c>
      <c r="R217" s="29" t="str">
        <f aca="false">IF(A217="","",IF(Q217&gt;0,COUNTIFS($B$5:$B$500,A217,$E$5:$E$500,"Done")/Q217,IF(E217="Done",1,0)))</f>
        <v/>
      </c>
      <c r="S217" s="30" t="str">
        <f aca="true">IF(OR(A217="",E217="Done",J217=""),"",IF(J217&lt;TODAY(),"OVERDUE",IF(J217-TODAY()&lt;=7,"Due this week","")))</f>
        <v/>
      </c>
      <c r="T217" s="25"/>
    </row>
    <row r="218" customFormat="false" ht="15" hidden="false" customHeight="false" outlineLevel="0" collapsed="false">
      <c r="A218" s="24"/>
      <c r="B218" s="24"/>
      <c r="C218" s="9"/>
      <c r="D218" s="25"/>
      <c r="E218" s="9"/>
      <c r="F218" s="24"/>
      <c r="G218" s="9"/>
      <c r="H218" s="9"/>
      <c r="I218" s="26"/>
      <c r="J218" s="26"/>
      <c r="K218" s="26"/>
      <c r="L218" s="24"/>
      <c r="M218" s="24"/>
      <c r="N218" s="14"/>
      <c r="O218" s="14"/>
      <c r="P218" s="27" t="str">
        <f aca="false">IF(OR(N218="",O218=""),"",O218-N218)</f>
        <v/>
      </c>
      <c r="Q218" s="28" t="str">
        <f aca="false">IF(A218="","",COUNTIF($B$5:$B$500,A218))</f>
        <v/>
      </c>
      <c r="R218" s="29" t="str">
        <f aca="false">IF(A218="","",IF(Q218&gt;0,COUNTIFS($B$5:$B$500,A218,$E$5:$E$500,"Done")/Q218,IF(E218="Done",1,0)))</f>
        <v/>
      </c>
      <c r="S218" s="30" t="str">
        <f aca="true">IF(OR(A218="",E218="Done",J218=""),"",IF(J218&lt;TODAY(),"OVERDUE",IF(J218-TODAY()&lt;=7,"Due this week","")))</f>
        <v/>
      </c>
      <c r="T218" s="25"/>
    </row>
    <row r="219" customFormat="false" ht="15" hidden="false" customHeight="false" outlineLevel="0" collapsed="false">
      <c r="A219" s="24"/>
      <c r="B219" s="24"/>
      <c r="C219" s="9"/>
      <c r="D219" s="25"/>
      <c r="E219" s="9"/>
      <c r="F219" s="24"/>
      <c r="G219" s="9"/>
      <c r="H219" s="9"/>
      <c r="I219" s="26"/>
      <c r="J219" s="26"/>
      <c r="K219" s="26"/>
      <c r="L219" s="24"/>
      <c r="M219" s="24"/>
      <c r="N219" s="14"/>
      <c r="O219" s="14"/>
      <c r="P219" s="27" t="str">
        <f aca="false">IF(OR(N219="",O219=""),"",O219-N219)</f>
        <v/>
      </c>
      <c r="Q219" s="28" t="str">
        <f aca="false">IF(A219="","",COUNTIF($B$5:$B$500,A219))</f>
        <v/>
      </c>
      <c r="R219" s="29" t="str">
        <f aca="false">IF(A219="","",IF(Q219&gt;0,COUNTIFS($B$5:$B$500,A219,$E$5:$E$500,"Done")/Q219,IF(E219="Done",1,0)))</f>
        <v/>
      </c>
      <c r="S219" s="30" t="str">
        <f aca="true">IF(OR(A219="",E219="Done",J219=""),"",IF(J219&lt;TODAY(),"OVERDUE",IF(J219-TODAY()&lt;=7,"Due this week","")))</f>
        <v/>
      </c>
      <c r="T219" s="25"/>
    </row>
    <row r="220" customFormat="false" ht="15" hidden="false" customHeight="false" outlineLevel="0" collapsed="false">
      <c r="A220" s="24"/>
      <c r="B220" s="24"/>
      <c r="C220" s="9"/>
      <c r="D220" s="25"/>
      <c r="E220" s="9"/>
      <c r="F220" s="24"/>
      <c r="G220" s="9"/>
      <c r="H220" s="9"/>
      <c r="I220" s="26"/>
      <c r="J220" s="26"/>
      <c r="K220" s="26"/>
      <c r="L220" s="24"/>
      <c r="M220" s="24"/>
      <c r="N220" s="14"/>
      <c r="O220" s="14"/>
      <c r="P220" s="27" t="str">
        <f aca="false">IF(OR(N220="",O220=""),"",O220-N220)</f>
        <v/>
      </c>
      <c r="Q220" s="28" t="str">
        <f aca="false">IF(A220="","",COUNTIF($B$5:$B$500,A220))</f>
        <v/>
      </c>
      <c r="R220" s="29" t="str">
        <f aca="false">IF(A220="","",IF(Q220&gt;0,COUNTIFS($B$5:$B$500,A220,$E$5:$E$500,"Done")/Q220,IF(E220="Done",1,0)))</f>
        <v/>
      </c>
      <c r="S220" s="30" t="str">
        <f aca="true">IF(OR(A220="",E220="Done",J220=""),"",IF(J220&lt;TODAY(),"OVERDUE",IF(J220-TODAY()&lt;=7,"Due this week","")))</f>
        <v/>
      </c>
      <c r="T220" s="25"/>
    </row>
    <row r="221" customFormat="false" ht="15" hidden="false" customHeight="false" outlineLevel="0" collapsed="false">
      <c r="A221" s="24"/>
      <c r="B221" s="24"/>
      <c r="C221" s="9"/>
      <c r="D221" s="25"/>
      <c r="E221" s="9"/>
      <c r="F221" s="24"/>
      <c r="G221" s="9"/>
      <c r="H221" s="9"/>
      <c r="I221" s="26"/>
      <c r="J221" s="26"/>
      <c r="K221" s="26"/>
      <c r="L221" s="24"/>
      <c r="M221" s="24"/>
      <c r="N221" s="14"/>
      <c r="O221" s="14"/>
      <c r="P221" s="27" t="str">
        <f aca="false">IF(OR(N221="",O221=""),"",O221-N221)</f>
        <v/>
      </c>
      <c r="Q221" s="28" t="str">
        <f aca="false">IF(A221="","",COUNTIF($B$5:$B$500,A221))</f>
        <v/>
      </c>
      <c r="R221" s="29" t="str">
        <f aca="false">IF(A221="","",IF(Q221&gt;0,COUNTIFS($B$5:$B$500,A221,$E$5:$E$500,"Done")/Q221,IF(E221="Done",1,0)))</f>
        <v/>
      </c>
      <c r="S221" s="30" t="str">
        <f aca="true">IF(OR(A221="",E221="Done",J221=""),"",IF(J221&lt;TODAY(),"OVERDUE",IF(J221-TODAY()&lt;=7,"Due this week","")))</f>
        <v/>
      </c>
      <c r="T221" s="25"/>
    </row>
    <row r="222" customFormat="false" ht="15" hidden="false" customHeight="false" outlineLevel="0" collapsed="false">
      <c r="A222" s="24"/>
      <c r="B222" s="24"/>
      <c r="C222" s="9"/>
      <c r="D222" s="25"/>
      <c r="E222" s="9"/>
      <c r="F222" s="24"/>
      <c r="G222" s="9"/>
      <c r="H222" s="9"/>
      <c r="I222" s="26"/>
      <c r="J222" s="26"/>
      <c r="K222" s="26"/>
      <c r="L222" s="24"/>
      <c r="M222" s="24"/>
      <c r="N222" s="14"/>
      <c r="O222" s="14"/>
      <c r="P222" s="27" t="str">
        <f aca="false">IF(OR(N222="",O222=""),"",O222-N222)</f>
        <v/>
      </c>
      <c r="Q222" s="28" t="str">
        <f aca="false">IF(A222="","",COUNTIF($B$5:$B$500,A222))</f>
        <v/>
      </c>
      <c r="R222" s="29" t="str">
        <f aca="false">IF(A222="","",IF(Q222&gt;0,COUNTIFS($B$5:$B$500,A222,$E$5:$E$500,"Done")/Q222,IF(E222="Done",1,0)))</f>
        <v/>
      </c>
      <c r="S222" s="30" t="str">
        <f aca="true">IF(OR(A222="",E222="Done",J222=""),"",IF(J222&lt;TODAY(),"OVERDUE",IF(J222-TODAY()&lt;=7,"Due this week","")))</f>
        <v/>
      </c>
      <c r="T222" s="25"/>
    </row>
    <row r="223" customFormat="false" ht="15" hidden="false" customHeight="false" outlineLevel="0" collapsed="false">
      <c r="A223" s="24"/>
      <c r="B223" s="24"/>
      <c r="C223" s="9"/>
      <c r="D223" s="25"/>
      <c r="E223" s="9"/>
      <c r="F223" s="24"/>
      <c r="G223" s="9"/>
      <c r="H223" s="9"/>
      <c r="I223" s="26"/>
      <c r="J223" s="26"/>
      <c r="K223" s="26"/>
      <c r="L223" s="24"/>
      <c r="M223" s="24"/>
      <c r="N223" s="14"/>
      <c r="O223" s="14"/>
      <c r="P223" s="27" t="str">
        <f aca="false">IF(OR(N223="",O223=""),"",O223-N223)</f>
        <v/>
      </c>
      <c r="Q223" s="28" t="str">
        <f aca="false">IF(A223="","",COUNTIF($B$5:$B$500,A223))</f>
        <v/>
      </c>
      <c r="R223" s="29" t="str">
        <f aca="false">IF(A223="","",IF(Q223&gt;0,COUNTIFS($B$5:$B$500,A223,$E$5:$E$500,"Done")/Q223,IF(E223="Done",1,0)))</f>
        <v/>
      </c>
      <c r="S223" s="30" t="str">
        <f aca="true">IF(OR(A223="",E223="Done",J223=""),"",IF(J223&lt;TODAY(),"OVERDUE",IF(J223-TODAY()&lt;=7,"Due this week","")))</f>
        <v/>
      </c>
      <c r="T223" s="25"/>
    </row>
    <row r="224" customFormat="false" ht="15" hidden="false" customHeight="false" outlineLevel="0" collapsed="false">
      <c r="A224" s="24"/>
      <c r="B224" s="24"/>
      <c r="C224" s="9"/>
      <c r="D224" s="25"/>
      <c r="E224" s="9"/>
      <c r="F224" s="24"/>
      <c r="G224" s="9"/>
      <c r="H224" s="9"/>
      <c r="I224" s="26"/>
      <c r="J224" s="26"/>
      <c r="K224" s="26"/>
      <c r="L224" s="24"/>
      <c r="M224" s="24"/>
      <c r="N224" s="14"/>
      <c r="O224" s="14"/>
      <c r="P224" s="27" t="str">
        <f aca="false">IF(OR(N224="",O224=""),"",O224-N224)</f>
        <v/>
      </c>
      <c r="Q224" s="28" t="str">
        <f aca="false">IF(A224="","",COUNTIF($B$5:$B$500,A224))</f>
        <v/>
      </c>
      <c r="R224" s="29" t="str">
        <f aca="false">IF(A224="","",IF(Q224&gt;0,COUNTIFS($B$5:$B$500,A224,$E$5:$E$500,"Done")/Q224,IF(E224="Done",1,0)))</f>
        <v/>
      </c>
      <c r="S224" s="30" t="str">
        <f aca="true">IF(OR(A224="",E224="Done",J224=""),"",IF(J224&lt;TODAY(),"OVERDUE",IF(J224-TODAY()&lt;=7,"Due this week","")))</f>
        <v/>
      </c>
      <c r="T224" s="25"/>
    </row>
    <row r="225" customFormat="false" ht="15" hidden="false" customHeight="false" outlineLevel="0" collapsed="false">
      <c r="A225" s="24"/>
      <c r="B225" s="24"/>
      <c r="C225" s="9"/>
      <c r="D225" s="25"/>
      <c r="E225" s="9"/>
      <c r="F225" s="24"/>
      <c r="G225" s="9"/>
      <c r="H225" s="9"/>
      <c r="I225" s="26"/>
      <c r="J225" s="26"/>
      <c r="K225" s="26"/>
      <c r="L225" s="24"/>
      <c r="M225" s="24"/>
      <c r="N225" s="14"/>
      <c r="O225" s="14"/>
      <c r="P225" s="27" t="str">
        <f aca="false">IF(OR(N225="",O225=""),"",O225-N225)</f>
        <v/>
      </c>
      <c r="Q225" s="28" t="str">
        <f aca="false">IF(A225="","",COUNTIF($B$5:$B$500,A225))</f>
        <v/>
      </c>
      <c r="R225" s="29" t="str">
        <f aca="false">IF(A225="","",IF(Q225&gt;0,COUNTIFS($B$5:$B$500,A225,$E$5:$E$500,"Done")/Q225,IF(E225="Done",1,0)))</f>
        <v/>
      </c>
      <c r="S225" s="30" t="str">
        <f aca="true">IF(OR(A225="",E225="Done",J225=""),"",IF(J225&lt;TODAY(),"OVERDUE",IF(J225-TODAY()&lt;=7,"Due this week","")))</f>
        <v/>
      </c>
      <c r="T225" s="25"/>
    </row>
    <row r="226" customFormat="false" ht="15" hidden="false" customHeight="false" outlineLevel="0" collapsed="false">
      <c r="A226" s="24"/>
      <c r="B226" s="24"/>
      <c r="C226" s="9"/>
      <c r="D226" s="25"/>
      <c r="E226" s="9"/>
      <c r="F226" s="24"/>
      <c r="G226" s="9"/>
      <c r="H226" s="9"/>
      <c r="I226" s="26"/>
      <c r="J226" s="26"/>
      <c r="K226" s="26"/>
      <c r="L226" s="24"/>
      <c r="M226" s="24"/>
      <c r="N226" s="14"/>
      <c r="O226" s="14"/>
      <c r="P226" s="27" t="str">
        <f aca="false">IF(OR(N226="",O226=""),"",O226-N226)</f>
        <v/>
      </c>
      <c r="Q226" s="28" t="str">
        <f aca="false">IF(A226="","",COUNTIF($B$5:$B$500,A226))</f>
        <v/>
      </c>
      <c r="R226" s="29" t="str">
        <f aca="false">IF(A226="","",IF(Q226&gt;0,COUNTIFS($B$5:$B$500,A226,$E$5:$E$500,"Done")/Q226,IF(E226="Done",1,0)))</f>
        <v/>
      </c>
      <c r="S226" s="30" t="str">
        <f aca="true">IF(OR(A226="",E226="Done",J226=""),"",IF(J226&lt;TODAY(),"OVERDUE",IF(J226-TODAY()&lt;=7,"Due this week","")))</f>
        <v/>
      </c>
      <c r="T226" s="25"/>
    </row>
    <row r="227" customFormat="false" ht="15" hidden="false" customHeight="false" outlineLevel="0" collapsed="false">
      <c r="A227" s="24"/>
      <c r="B227" s="24"/>
      <c r="C227" s="9"/>
      <c r="D227" s="25"/>
      <c r="E227" s="9"/>
      <c r="F227" s="24"/>
      <c r="G227" s="9"/>
      <c r="H227" s="9"/>
      <c r="I227" s="26"/>
      <c r="J227" s="26"/>
      <c r="K227" s="26"/>
      <c r="L227" s="24"/>
      <c r="M227" s="24"/>
      <c r="N227" s="14"/>
      <c r="O227" s="14"/>
      <c r="P227" s="27" t="str">
        <f aca="false">IF(OR(N227="",O227=""),"",O227-N227)</f>
        <v/>
      </c>
      <c r="Q227" s="28" t="str">
        <f aca="false">IF(A227="","",COUNTIF($B$5:$B$500,A227))</f>
        <v/>
      </c>
      <c r="R227" s="29" t="str">
        <f aca="false">IF(A227="","",IF(Q227&gt;0,COUNTIFS($B$5:$B$500,A227,$E$5:$E$500,"Done")/Q227,IF(E227="Done",1,0)))</f>
        <v/>
      </c>
      <c r="S227" s="30" t="str">
        <f aca="true">IF(OR(A227="",E227="Done",J227=""),"",IF(J227&lt;TODAY(),"OVERDUE",IF(J227-TODAY()&lt;=7,"Due this week","")))</f>
        <v/>
      </c>
      <c r="T227" s="25"/>
    </row>
    <row r="228" customFormat="false" ht="15" hidden="false" customHeight="false" outlineLevel="0" collapsed="false">
      <c r="A228" s="24"/>
      <c r="B228" s="24"/>
      <c r="C228" s="9"/>
      <c r="D228" s="25"/>
      <c r="E228" s="9"/>
      <c r="F228" s="24"/>
      <c r="G228" s="9"/>
      <c r="H228" s="9"/>
      <c r="I228" s="26"/>
      <c r="J228" s="26"/>
      <c r="K228" s="26"/>
      <c r="L228" s="24"/>
      <c r="M228" s="24"/>
      <c r="N228" s="14"/>
      <c r="O228" s="14"/>
      <c r="P228" s="27" t="str">
        <f aca="false">IF(OR(N228="",O228=""),"",O228-N228)</f>
        <v/>
      </c>
      <c r="Q228" s="28" t="str">
        <f aca="false">IF(A228="","",COUNTIF($B$5:$B$500,A228))</f>
        <v/>
      </c>
      <c r="R228" s="29" t="str">
        <f aca="false">IF(A228="","",IF(Q228&gt;0,COUNTIFS($B$5:$B$500,A228,$E$5:$E$500,"Done")/Q228,IF(E228="Done",1,0)))</f>
        <v/>
      </c>
      <c r="S228" s="30" t="str">
        <f aca="true">IF(OR(A228="",E228="Done",J228=""),"",IF(J228&lt;TODAY(),"OVERDUE",IF(J228-TODAY()&lt;=7,"Due this week","")))</f>
        <v/>
      </c>
      <c r="T228" s="25"/>
    </row>
    <row r="229" customFormat="false" ht="15" hidden="false" customHeight="false" outlineLevel="0" collapsed="false">
      <c r="A229" s="24"/>
      <c r="B229" s="24"/>
      <c r="C229" s="9"/>
      <c r="D229" s="25"/>
      <c r="E229" s="9"/>
      <c r="F229" s="24"/>
      <c r="G229" s="9"/>
      <c r="H229" s="9"/>
      <c r="I229" s="26"/>
      <c r="J229" s="26"/>
      <c r="K229" s="26"/>
      <c r="L229" s="24"/>
      <c r="M229" s="24"/>
      <c r="N229" s="14"/>
      <c r="O229" s="14"/>
      <c r="P229" s="27" t="str">
        <f aca="false">IF(OR(N229="",O229=""),"",O229-N229)</f>
        <v/>
      </c>
      <c r="Q229" s="28" t="str">
        <f aca="false">IF(A229="","",COUNTIF($B$5:$B$500,A229))</f>
        <v/>
      </c>
      <c r="R229" s="29" t="str">
        <f aca="false">IF(A229="","",IF(Q229&gt;0,COUNTIFS($B$5:$B$500,A229,$E$5:$E$500,"Done")/Q229,IF(E229="Done",1,0)))</f>
        <v/>
      </c>
      <c r="S229" s="30" t="str">
        <f aca="true">IF(OR(A229="",E229="Done",J229=""),"",IF(J229&lt;TODAY(),"OVERDUE",IF(J229-TODAY()&lt;=7,"Due this week","")))</f>
        <v/>
      </c>
      <c r="T229" s="25"/>
    </row>
    <row r="230" customFormat="false" ht="15" hidden="false" customHeight="false" outlineLevel="0" collapsed="false">
      <c r="A230" s="24"/>
      <c r="B230" s="24"/>
      <c r="C230" s="9"/>
      <c r="D230" s="25"/>
      <c r="E230" s="9"/>
      <c r="F230" s="24"/>
      <c r="G230" s="9"/>
      <c r="H230" s="9"/>
      <c r="I230" s="26"/>
      <c r="J230" s="26"/>
      <c r="K230" s="26"/>
      <c r="L230" s="24"/>
      <c r="M230" s="24"/>
      <c r="N230" s="14"/>
      <c r="O230" s="14"/>
      <c r="P230" s="27" t="str">
        <f aca="false">IF(OR(N230="",O230=""),"",O230-N230)</f>
        <v/>
      </c>
      <c r="Q230" s="28" t="str">
        <f aca="false">IF(A230="","",COUNTIF($B$5:$B$500,A230))</f>
        <v/>
      </c>
      <c r="R230" s="29" t="str">
        <f aca="false">IF(A230="","",IF(Q230&gt;0,COUNTIFS($B$5:$B$500,A230,$E$5:$E$500,"Done")/Q230,IF(E230="Done",1,0)))</f>
        <v/>
      </c>
      <c r="S230" s="30" t="str">
        <f aca="true">IF(OR(A230="",E230="Done",J230=""),"",IF(J230&lt;TODAY(),"OVERDUE",IF(J230-TODAY()&lt;=7,"Due this week","")))</f>
        <v/>
      </c>
      <c r="T230" s="25"/>
    </row>
    <row r="231" customFormat="false" ht="15" hidden="false" customHeight="false" outlineLevel="0" collapsed="false">
      <c r="A231" s="24"/>
      <c r="B231" s="24"/>
      <c r="C231" s="9"/>
      <c r="D231" s="25"/>
      <c r="E231" s="9"/>
      <c r="F231" s="24"/>
      <c r="G231" s="9"/>
      <c r="H231" s="9"/>
      <c r="I231" s="26"/>
      <c r="J231" s="26"/>
      <c r="K231" s="26"/>
      <c r="L231" s="24"/>
      <c r="M231" s="24"/>
      <c r="N231" s="14"/>
      <c r="O231" s="14"/>
      <c r="P231" s="27" t="str">
        <f aca="false">IF(OR(N231="",O231=""),"",O231-N231)</f>
        <v/>
      </c>
      <c r="Q231" s="28" t="str">
        <f aca="false">IF(A231="","",COUNTIF($B$5:$B$500,A231))</f>
        <v/>
      </c>
      <c r="R231" s="29" t="str">
        <f aca="false">IF(A231="","",IF(Q231&gt;0,COUNTIFS($B$5:$B$500,A231,$E$5:$E$500,"Done")/Q231,IF(E231="Done",1,0)))</f>
        <v/>
      </c>
      <c r="S231" s="30" t="str">
        <f aca="true">IF(OR(A231="",E231="Done",J231=""),"",IF(J231&lt;TODAY(),"OVERDUE",IF(J231-TODAY()&lt;=7,"Due this week","")))</f>
        <v/>
      </c>
      <c r="T231" s="25"/>
    </row>
    <row r="232" customFormat="false" ht="15" hidden="false" customHeight="false" outlineLevel="0" collapsed="false">
      <c r="A232" s="24"/>
      <c r="B232" s="24"/>
      <c r="C232" s="9"/>
      <c r="D232" s="25"/>
      <c r="E232" s="9"/>
      <c r="F232" s="24"/>
      <c r="G232" s="9"/>
      <c r="H232" s="9"/>
      <c r="I232" s="26"/>
      <c r="J232" s="26"/>
      <c r="K232" s="26"/>
      <c r="L232" s="24"/>
      <c r="M232" s="24"/>
      <c r="N232" s="14"/>
      <c r="O232" s="14"/>
      <c r="P232" s="27" t="str">
        <f aca="false">IF(OR(N232="",O232=""),"",O232-N232)</f>
        <v/>
      </c>
      <c r="Q232" s="28" t="str">
        <f aca="false">IF(A232="","",COUNTIF($B$5:$B$500,A232))</f>
        <v/>
      </c>
      <c r="R232" s="29" t="str">
        <f aca="false">IF(A232="","",IF(Q232&gt;0,COUNTIFS($B$5:$B$500,A232,$E$5:$E$500,"Done")/Q232,IF(E232="Done",1,0)))</f>
        <v/>
      </c>
      <c r="S232" s="30" t="str">
        <f aca="true">IF(OR(A232="",E232="Done",J232=""),"",IF(J232&lt;TODAY(),"OVERDUE",IF(J232-TODAY()&lt;=7,"Due this week","")))</f>
        <v/>
      </c>
      <c r="T232" s="25"/>
    </row>
    <row r="233" customFormat="false" ht="15" hidden="false" customHeight="false" outlineLevel="0" collapsed="false">
      <c r="A233" s="24"/>
      <c r="B233" s="24"/>
      <c r="C233" s="9"/>
      <c r="D233" s="25"/>
      <c r="E233" s="9"/>
      <c r="F233" s="24"/>
      <c r="G233" s="9"/>
      <c r="H233" s="9"/>
      <c r="I233" s="26"/>
      <c r="J233" s="26"/>
      <c r="K233" s="26"/>
      <c r="L233" s="24"/>
      <c r="M233" s="24"/>
      <c r="N233" s="14"/>
      <c r="O233" s="14"/>
      <c r="P233" s="27" t="str">
        <f aca="false">IF(OR(N233="",O233=""),"",O233-N233)</f>
        <v/>
      </c>
      <c r="Q233" s="28" t="str">
        <f aca="false">IF(A233="","",COUNTIF($B$5:$B$500,A233))</f>
        <v/>
      </c>
      <c r="R233" s="29" t="str">
        <f aca="false">IF(A233="","",IF(Q233&gt;0,COUNTIFS($B$5:$B$500,A233,$E$5:$E$500,"Done")/Q233,IF(E233="Done",1,0)))</f>
        <v/>
      </c>
      <c r="S233" s="30" t="str">
        <f aca="true">IF(OR(A233="",E233="Done",J233=""),"",IF(J233&lt;TODAY(),"OVERDUE",IF(J233-TODAY()&lt;=7,"Due this week","")))</f>
        <v/>
      </c>
      <c r="T233" s="25"/>
    </row>
    <row r="234" customFormat="false" ht="15" hidden="false" customHeight="false" outlineLevel="0" collapsed="false">
      <c r="A234" s="24"/>
      <c r="B234" s="24"/>
      <c r="C234" s="9"/>
      <c r="D234" s="25"/>
      <c r="E234" s="9"/>
      <c r="F234" s="24"/>
      <c r="G234" s="9"/>
      <c r="H234" s="9"/>
      <c r="I234" s="26"/>
      <c r="J234" s="26"/>
      <c r="K234" s="26"/>
      <c r="L234" s="24"/>
      <c r="M234" s="24"/>
      <c r="N234" s="14"/>
      <c r="O234" s="14"/>
      <c r="P234" s="27" t="str">
        <f aca="false">IF(OR(N234="",O234=""),"",O234-N234)</f>
        <v/>
      </c>
      <c r="Q234" s="28" t="str">
        <f aca="false">IF(A234="","",COUNTIF($B$5:$B$500,A234))</f>
        <v/>
      </c>
      <c r="R234" s="29" t="str">
        <f aca="false">IF(A234="","",IF(Q234&gt;0,COUNTIFS($B$5:$B$500,A234,$E$5:$E$500,"Done")/Q234,IF(E234="Done",1,0)))</f>
        <v/>
      </c>
      <c r="S234" s="30" t="str">
        <f aca="true">IF(OR(A234="",E234="Done",J234=""),"",IF(J234&lt;TODAY(),"OVERDUE",IF(J234-TODAY()&lt;=7,"Due this week","")))</f>
        <v/>
      </c>
      <c r="T234" s="25"/>
    </row>
    <row r="235" customFormat="false" ht="15" hidden="false" customHeight="false" outlineLevel="0" collapsed="false">
      <c r="A235" s="24"/>
      <c r="B235" s="24"/>
      <c r="C235" s="9"/>
      <c r="D235" s="25"/>
      <c r="E235" s="9"/>
      <c r="F235" s="24"/>
      <c r="G235" s="9"/>
      <c r="H235" s="9"/>
      <c r="I235" s="26"/>
      <c r="J235" s="26"/>
      <c r="K235" s="26"/>
      <c r="L235" s="24"/>
      <c r="M235" s="24"/>
      <c r="N235" s="14"/>
      <c r="O235" s="14"/>
      <c r="P235" s="27" t="str">
        <f aca="false">IF(OR(N235="",O235=""),"",O235-N235)</f>
        <v/>
      </c>
      <c r="Q235" s="28" t="str">
        <f aca="false">IF(A235="","",COUNTIF($B$5:$B$500,A235))</f>
        <v/>
      </c>
      <c r="R235" s="29" t="str">
        <f aca="false">IF(A235="","",IF(Q235&gt;0,COUNTIFS($B$5:$B$500,A235,$E$5:$E$500,"Done")/Q235,IF(E235="Done",1,0)))</f>
        <v/>
      </c>
      <c r="S235" s="30" t="str">
        <f aca="true">IF(OR(A235="",E235="Done",J235=""),"",IF(J235&lt;TODAY(),"OVERDUE",IF(J235-TODAY()&lt;=7,"Due this week","")))</f>
        <v/>
      </c>
      <c r="T235" s="25"/>
    </row>
    <row r="236" customFormat="false" ht="15" hidden="false" customHeight="false" outlineLevel="0" collapsed="false">
      <c r="A236" s="24"/>
      <c r="B236" s="24"/>
      <c r="C236" s="9"/>
      <c r="D236" s="25"/>
      <c r="E236" s="9"/>
      <c r="F236" s="24"/>
      <c r="G236" s="9"/>
      <c r="H236" s="9"/>
      <c r="I236" s="26"/>
      <c r="J236" s="26"/>
      <c r="K236" s="26"/>
      <c r="L236" s="24"/>
      <c r="M236" s="24"/>
      <c r="N236" s="14"/>
      <c r="O236" s="14"/>
      <c r="P236" s="27" t="str">
        <f aca="false">IF(OR(N236="",O236=""),"",O236-N236)</f>
        <v/>
      </c>
      <c r="Q236" s="28" t="str">
        <f aca="false">IF(A236="","",COUNTIF($B$5:$B$500,A236))</f>
        <v/>
      </c>
      <c r="R236" s="29" t="str">
        <f aca="false">IF(A236="","",IF(Q236&gt;0,COUNTIFS($B$5:$B$500,A236,$E$5:$E$500,"Done")/Q236,IF(E236="Done",1,0)))</f>
        <v/>
      </c>
      <c r="S236" s="30" t="str">
        <f aca="true">IF(OR(A236="",E236="Done",J236=""),"",IF(J236&lt;TODAY(),"OVERDUE",IF(J236-TODAY()&lt;=7,"Due this week","")))</f>
        <v/>
      </c>
      <c r="T236" s="25"/>
    </row>
    <row r="237" customFormat="false" ht="15" hidden="false" customHeight="false" outlineLevel="0" collapsed="false">
      <c r="A237" s="24"/>
      <c r="B237" s="24"/>
      <c r="C237" s="9"/>
      <c r="D237" s="25"/>
      <c r="E237" s="9"/>
      <c r="F237" s="24"/>
      <c r="G237" s="9"/>
      <c r="H237" s="9"/>
      <c r="I237" s="26"/>
      <c r="J237" s="26"/>
      <c r="K237" s="26"/>
      <c r="L237" s="24"/>
      <c r="M237" s="24"/>
      <c r="N237" s="14"/>
      <c r="O237" s="14"/>
      <c r="P237" s="27" t="str">
        <f aca="false">IF(OR(N237="",O237=""),"",O237-N237)</f>
        <v/>
      </c>
      <c r="Q237" s="28" t="str">
        <f aca="false">IF(A237="","",COUNTIF($B$5:$B$500,A237))</f>
        <v/>
      </c>
      <c r="R237" s="29" t="str">
        <f aca="false">IF(A237="","",IF(Q237&gt;0,COUNTIFS($B$5:$B$500,A237,$E$5:$E$500,"Done")/Q237,IF(E237="Done",1,0)))</f>
        <v/>
      </c>
      <c r="S237" s="30" t="str">
        <f aca="true">IF(OR(A237="",E237="Done",J237=""),"",IF(J237&lt;TODAY(),"OVERDUE",IF(J237-TODAY()&lt;=7,"Due this week","")))</f>
        <v/>
      </c>
      <c r="T237" s="25"/>
    </row>
    <row r="238" customFormat="false" ht="15" hidden="false" customHeight="false" outlineLevel="0" collapsed="false">
      <c r="A238" s="24"/>
      <c r="B238" s="24"/>
      <c r="C238" s="9"/>
      <c r="D238" s="25"/>
      <c r="E238" s="9"/>
      <c r="F238" s="24"/>
      <c r="G238" s="9"/>
      <c r="H238" s="9"/>
      <c r="I238" s="26"/>
      <c r="J238" s="26"/>
      <c r="K238" s="26"/>
      <c r="L238" s="24"/>
      <c r="M238" s="24"/>
      <c r="N238" s="14"/>
      <c r="O238" s="14"/>
      <c r="P238" s="27" t="str">
        <f aca="false">IF(OR(N238="",O238=""),"",O238-N238)</f>
        <v/>
      </c>
      <c r="Q238" s="28" t="str">
        <f aca="false">IF(A238="","",COUNTIF($B$5:$B$500,A238))</f>
        <v/>
      </c>
      <c r="R238" s="29" t="str">
        <f aca="false">IF(A238="","",IF(Q238&gt;0,COUNTIFS($B$5:$B$500,A238,$E$5:$E$500,"Done")/Q238,IF(E238="Done",1,0)))</f>
        <v/>
      </c>
      <c r="S238" s="30" t="str">
        <f aca="true">IF(OR(A238="",E238="Done",J238=""),"",IF(J238&lt;TODAY(),"OVERDUE",IF(J238-TODAY()&lt;=7,"Due this week","")))</f>
        <v/>
      </c>
      <c r="T238" s="25"/>
    </row>
    <row r="239" customFormat="false" ht="15" hidden="false" customHeight="false" outlineLevel="0" collapsed="false">
      <c r="A239" s="24"/>
      <c r="B239" s="24"/>
      <c r="C239" s="9"/>
      <c r="D239" s="25"/>
      <c r="E239" s="9"/>
      <c r="F239" s="24"/>
      <c r="G239" s="9"/>
      <c r="H239" s="9"/>
      <c r="I239" s="26"/>
      <c r="J239" s="26"/>
      <c r="K239" s="26"/>
      <c r="L239" s="24"/>
      <c r="M239" s="24"/>
      <c r="N239" s="14"/>
      <c r="O239" s="14"/>
      <c r="P239" s="27" t="str">
        <f aca="false">IF(OR(N239="",O239=""),"",O239-N239)</f>
        <v/>
      </c>
      <c r="Q239" s="28" t="str">
        <f aca="false">IF(A239="","",COUNTIF($B$5:$B$500,A239))</f>
        <v/>
      </c>
      <c r="R239" s="29" t="str">
        <f aca="false">IF(A239="","",IF(Q239&gt;0,COUNTIFS($B$5:$B$500,A239,$E$5:$E$500,"Done")/Q239,IF(E239="Done",1,0)))</f>
        <v/>
      </c>
      <c r="S239" s="30" t="str">
        <f aca="true">IF(OR(A239="",E239="Done",J239=""),"",IF(J239&lt;TODAY(),"OVERDUE",IF(J239-TODAY()&lt;=7,"Due this week","")))</f>
        <v/>
      </c>
      <c r="T239" s="25"/>
    </row>
    <row r="240" customFormat="false" ht="15" hidden="false" customHeight="false" outlineLevel="0" collapsed="false">
      <c r="A240" s="24"/>
      <c r="B240" s="24"/>
      <c r="C240" s="9"/>
      <c r="D240" s="25"/>
      <c r="E240" s="9"/>
      <c r="F240" s="24"/>
      <c r="G240" s="9"/>
      <c r="H240" s="9"/>
      <c r="I240" s="26"/>
      <c r="J240" s="26"/>
      <c r="K240" s="26"/>
      <c r="L240" s="24"/>
      <c r="M240" s="24"/>
      <c r="N240" s="14"/>
      <c r="O240" s="14"/>
      <c r="P240" s="27" t="str">
        <f aca="false">IF(OR(N240="",O240=""),"",O240-N240)</f>
        <v/>
      </c>
      <c r="Q240" s="28" t="str">
        <f aca="false">IF(A240="","",COUNTIF($B$5:$B$500,A240))</f>
        <v/>
      </c>
      <c r="R240" s="29" t="str">
        <f aca="false">IF(A240="","",IF(Q240&gt;0,COUNTIFS($B$5:$B$500,A240,$E$5:$E$500,"Done")/Q240,IF(E240="Done",1,0)))</f>
        <v/>
      </c>
      <c r="S240" s="30" t="str">
        <f aca="true">IF(OR(A240="",E240="Done",J240=""),"",IF(J240&lt;TODAY(),"OVERDUE",IF(J240-TODAY()&lt;=7,"Due this week","")))</f>
        <v/>
      </c>
      <c r="T240" s="25"/>
    </row>
    <row r="241" customFormat="false" ht="15" hidden="false" customHeight="false" outlineLevel="0" collapsed="false">
      <c r="A241" s="24"/>
      <c r="B241" s="24"/>
      <c r="C241" s="9"/>
      <c r="D241" s="25"/>
      <c r="E241" s="9"/>
      <c r="F241" s="24"/>
      <c r="G241" s="9"/>
      <c r="H241" s="9"/>
      <c r="I241" s="26"/>
      <c r="J241" s="26"/>
      <c r="K241" s="26"/>
      <c r="L241" s="24"/>
      <c r="M241" s="24"/>
      <c r="N241" s="14"/>
      <c r="O241" s="14"/>
      <c r="P241" s="27" t="str">
        <f aca="false">IF(OR(N241="",O241=""),"",O241-N241)</f>
        <v/>
      </c>
      <c r="Q241" s="28" t="str">
        <f aca="false">IF(A241="","",COUNTIF($B$5:$B$500,A241))</f>
        <v/>
      </c>
      <c r="R241" s="29" t="str">
        <f aca="false">IF(A241="","",IF(Q241&gt;0,COUNTIFS($B$5:$B$500,A241,$E$5:$E$500,"Done")/Q241,IF(E241="Done",1,0)))</f>
        <v/>
      </c>
      <c r="S241" s="30" t="str">
        <f aca="true">IF(OR(A241="",E241="Done",J241=""),"",IF(J241&lt;TODAY(),"OVERDUE",IF(J241-TODAY()&lt;=7,"Due this week","")))</f>
        <v/>
      </c>
      <c r="T241" s="25"/>
    </row>
    <row r="242" customFormat="false" ht="15" hidden="false" customHeight="false" outlineLevel="0" collapsed="false">
      <c r="A242" s="24"/>
      <c r="B242" s="24"/>
      <c r="C242" s="9"/>
      <c r="D242" s="25"/>
      <c r="E242" s="9"/>
      <c r="F242" s="24"/>
      <c r="G242" s="9"/>
      <c r="H242" s="9"/>
      <c r="I242" s="26"/>
      <c r="J242" s="26"/>
      <c r="K242" s="26"/>
      <c r="L242" s="24"/>
      <c r="M242" s="24"/>
      <c r="N242" s="14"/>
      <c r="O242" s="14"/>
      <c r="P242" s="27" t="str">
        <f aca="false">IF(OR(N242="",O242=""),"",O242-N242)</f>
        <v/>
      </c>
      <c r="Q242" s="28" t="str">
        <f aca="false">IF(A242="","",COUNTIF($B$5:$B$500,A242))</f>
        <v/>
      </c>
      <c r="R242" s="29" t="str">
        <f aca="false">IF(A242="","",IF(Q242&gt;0,COUNTIFS($B$5:$B$500,A242,$E$5:$E$500,"Done")/Q242,IF(E242="Done",1,0)))</f>
        <v/>
      </c>
      <c r="S242" s="30" t="str">
        <f aca="true">IF(OR(A242="",E242="Done",J242=""),"",IF(J242&lt;TODAY(),"OVERDUE",IF(J242-TODAY()&lt;=7,"Due this week","")))</f>
        <v/>
      </c>
      <c r="T242" s="25"/>
    </row>
    <row r="243" customFormat="false" ht="15" hidden="false" customHeight="false" outlineLevel="0" collapsed="false">
      <c r="A243" s="24"/>
      <c r="B243" s="24"/>
      <c r="C243" s="9"/>
      <c r="D243" s="25"/>
      <c r="E243" s="9"/>
      <c r="F243" s="24"/>
      <c r="G243" s="9"/>
      <c r="H243" s="9"/>
      <c r="I243" s="26"/>
      <c r="J243" s="26"/>
      <c r="K243" s="26"/>
      <c r="L243" s="24"/>
      <c r="M243" s="24"/>
      <c r="N243" s="14"/>
      <c r="O243" s="14"/>
      <c r="P243" s="27" t="str">
        <f aca="false">IF(OR(N243="",O243=""),"",O243-N243)</f>
        <v/>
      </c>
      <c r="Q243" s="28" t="str">
        <f aca="false">IF(A243="","",COUNTIF($B$5:$B$500,A243))</f>
        <v/>
      </c>
      <c r="R243" s="29" t="str">
        <f aca="false">IF(A243="","",IF(Q243&gt;0,COUNTIFS($B$5:$B$500,A243,$E$5:$E$500,"Done")/Q243,IF(E243="Done",1,0)))</f>
        <v/>
      </c>
      <c r="S243" s="30" t="str">
        <f aca="true">IF(OR(A243="",E243="Done",J243=""),"",IF(J243&lt;TODAY(),"OVERDUE",IF(J243-TODAY()&lt;=7,"Due this week","")))</f>
        <v/>
      </c>
      <c r="T243" s="25"/>
    </row>
    <row r="244" customFormat="false" ht="15" hidden="false" customHeight="false" outlineLevel="0" collapsed="false">
      <c r="A244" s="24"/>
      <c r="B244" s="24"/>
      <c r="C244" s="9"/>
      <c r="D244" s="25"/>
      <c r="E244" s="9"/>
      <c r="F244" s="24"/>
      <c r="G244" s="9"/>
      <c r="H244" s="9"/>
      <c r="I244" s="26"/>
      <c r="J244" s="26"/>
      <c r="K244" s="26"/>
      <c r="L244" s="24"/>
      <c r="M244" s="24"/>
      <c r="N244" s="14"/>
      <c r="O244" s="14"/>
      <c r="P244" s="27" t="str">
        <f aca="false">IF(OR(N244="",O244=""),"",O244-N244)</f>
        <v/>
      </c>
      <c r="Q244" s="28" t="str">
        <f aca="false">IF(A244="","",COUNTIF($B$5:$B$500,A244))</f>
        <v/>
      </c>
      <c r="R244" s="29" t="str">
        <f aca="false">IF(A244="","",IF(Q244&gt;0,COUNTIFS($B$5:$B$500,A244,$E$5:$E$500,"Done")/Q244,IF(E244="Done",1,0)))</f>
        <v/>
      </c>
      <c r="S244" s="30" t="str">
        <f aca="true">IF(OR(A244="",E244="Done",J244=""),"",IF(J244&lt;TODAY(),"OVERDUE",IF(J244-TODAY()&lt;=7,"Due this week","")))</f>
        <v/>
      </c>
      <c r="T244" s="25"/>
    </row>
    <row r="245" customFormat="false" ht="15" hidden="false" customHeight="false" outlineLevel="0" collapsed="false">
      <c r="A245" s="24"/>
      <c r="B245" s="24"/>
      <c r="C245" s="9"/>
      <c r="D245" s="25"/>
      <c r="E245" s="9"/>
      <c r="F245" s="24"/>
      <c r="G245" s="9"/>
      <c r="H245" s="9"/>
      <c r="I245" s="26"/>
      <c r="J245" s="26"/>
      <c r="K245" s="26"/>
      <c r="L245" s="24"/>
      <c r="M245" s="24"/>
      <c r="N245" s="14"/>
      <c r="O245" s="14"/>
      <c r="P245" s="27" t="str">
        <f aca="false">IF(OR(N245="",O245=""),"",O245-N245)</f>
        <v/>
      </c>
      <c r="Q245" s="28" t="str">
        <f aca="false">IF(A245="","",COUNTIF($B$5:$B$500,A245))</f>
        <v/>
      </c>
      <c r="R245" s="29" t="str">
        <f aca="false">IF(A245="","",IF(Q245&gt;0,COUNTIFS($B$5:$B$500,A245,$E$5:$E$500,"Done")/Q245,IF(E245="Done",1,0)))</f>
        <v/>
      </c>
      <c r="S245" s="30" t="str">
        <f aca="true">IF(OR(A245="",E245="Done",J245=""),"",IF(J245&lt;TODAY(),"OVERDUE",IF(J245-TODAY()&lt;=7,"Due this week","")))</f>
        <v/>
      </c>
      <c r="T245" s="25"/>
    </row>
    <row r="246" customFormat="false" ht="15" hidden="false" customHeight="false" outlineLevel="0" collapsed="false">
      <c r="A246" s="24"/>
      <c r="B246" s="24"/>
      <c r="C246" s="9"/>
      <c r="D246" s="25"/>
      <c r="E246" s="9"/>
      <c r="F246" s="24"/>
      <c r="G246" s="9"/>
      <c r="H246" s="9"/>
      <c r="I246" s="26"/>
      <c r="J246" s="26"/>
      <c r="K246" s="26"/>
      <c r="L246" s="24"/>
      <c r="M246" s="24"/>
      <c r="N246" s="14"/>
      <c r="O246" s="14"/>
      <c r="P246" s="27" t="str">
        <f aca="false">IF(OR(N246="",O246=""),"",O246-N246)</f>
        <v/>
      </c>
      <c r="Q246" s="28" t="str">
        <f aca="false">IF(A246="","",COUNTIF($B$5:$B$500,A246))</f>
        <v/>
      </c>
      <c r="R246" s="29" t="str">
        <f aca="false">IF(A246="","",IF(Q246&gt;0,COUNTIFS($B$5:$B$500,A246,$E$5:$E$500,"Done")/Q246,IF(E246="Done",1,0)))</f>
        <v/>
      </c>
      <c r="S246" s="30" t="str">
        <f aca="true">IF(OR(A246="",E246="Done",J246=""),"",IF(J246&lt;TODAY(),"OVERDUE",IF(J246-TODAY()&lt;=7,"Due this week","")))</f>
        <v/>
      </c>
      <c r="T246" s="25"/>
    </row>
    <row r="247" customFormat="false" ht="15" hidden="false" customHeight="false" outlineLevel="0" collapsed="false">
      <c r="A247" s="24"/>
      <c r="B247" s="24"/>
      <c r="C247" s="9"/>
      <c r="D247" s="25"/>
      <c r="E247" s="9"/>
      <c r="F247" s="24"/>
      <c r="G247" s="9"/>
      <c r="H247" s="9"/>
      <c r="I247" s="26"/>
      <c r="J247" s="26"/>
      <c r="K247" s="26"/>
      <c r="L247" s="24"/>
      <c r="M247" s="24"/>
      <c r="N247" s="14"/>
      <c r="O247" s="14"/>
      <c r="P247" s="27" t="str">
        <f aca="false">IF(OR(N247="",O247=""),"",O247-N247)</f>
        <v/>
      </c>
      <c r="Q247" s="28" t="str">
        <f aca="false">IF(A247="","",COUNTIF($B$5:$B$500,A247))</f>
        <v/>
      </c>
      <c r="R247" s="29" t="str">
        <f aca="false">IF(A247="","",IF(Q247&gt;0,COUNTIFS($B$5:$B$500,A247,$E$5:$E$500,"Done")/Q247,IF(E247="Done",1,0)))</f>
        <v/>
      </c>
      <c r="S247" s="30" t="str">
        <f aca="true">IF(OR(A247="",E247="Done",J247=""),"",IF(J247&lt;TODAY(),"OVERDUE",IF(J247-TODAY()&lt;=7,"Due this week","")))</f>
        <v/>
      </c>
      <c r="T247" s="25"/>
    </row>
    <row r="248" customFormat="false" ht="15" hidden="false" customHeight="false" outlineLevel="0" collapsed="false">
      <c r="A248" s="24"/>
      <c r="B248" s="24"/>
      <c r="C248" s="9"/>
      <c r="D248" s="25"/>
      <c r="E248" s="9"/>
      <c r="F248" s="24"/>
      <c r="G248" s="9"/>
      <c r="H248" s="9"/>
      <c r="I248" s="26"/>
      <c r="J248" s="26"/>
      <c r="K248" s="26"/>
      <c r="L248" s="24"/>
      <c r="M248" s="24"/>
      <c r="N248" s="14"/>
      <c r="O248" s="14"/>
      <c r="P248" s="27" t="str">
        <f aca="false">IF(OR(N248="",O248=""),"",O248-N248)</f>
        <v/>
      </c>
      <c r="Q248" s="28" t="str">
        <f aca="false">IF(A248="","",COUNTIF($B$5:$B$500,A248))</f>
        <v/>
      </c>
      <c r="R248" s="29" t="str">
        <f aca="false">IF(A248="","",IF(Q248&gt;0,COUNTIFS($B$5:$B$500,A248,$E$5:$E$500,"Done")/Q248,IF(E248="Done",1,0)))</f>
        <v/>
      </c>
      <c r="S248" s="30" t="str">
        <f aca="true">IF(OR(A248="",E248="Done",J248=""),"",IF(J248&lt;TODAY(),"OVERDUE",IF(J248-TODAY()&lt;=7,"Due this week","")))</f>
        <v/>
      </c>
      <c r="T248" s="25"/>
    </row>
    <row r="249" customFormat="false" ht="15" hidden="false" customHeight="false" outlineLevel="0" collapsed="false">
      <c r="A249" s="24"/>
      <c r="B249" s="24"/>
      <c r="C249" s="9"/>
      <c r="D249" s="25"/>
      <c r="E249" s="9"/>
      <c r="F249" s="24"/>
      <c r="G249" s="9"/>
      <c r="H249" s="9"/>
      <c r="I249" s="26"/>
      <c r="J249" s="26"/>
      <c r="K249" s="26"/>
      <c r="L249" s="24"/>
      <c r="M249" s="24"/>
      <c r="N249" s="14"/>
      <c r="O249" s="14"/>
      <c r="P249" s="27" t="str">
        <f aca="false">IF(OR(N249="",O249=""),"",O249-N249)</f>
        <v/>
      </c>
      <c r="Q249" s="28" t="str">
        <f aca="false">IF(A249="","",COUNTIF($B$5:$B$500,A249))</f>
        <v/>
      </c>
      <c r="R249" s="29" t="str">
        <f aca="false">IF(A249="","",IF(Q249&gt;0,COUNTIFS($B$5:$B$500,A249,$E$5:$E$500,"Done")/Q249,IF(E249="Done",1,0)))</f>
        <v/>
      </c>
      <c r="S249" s="30" t="str">
        <f aca="true">IF(OR(A249="",E249="Done",J249=""),"",IF(J249&lt;TODAY(),"OVERDUE",IF(J249-TODAY()&lt;=7,"Due this week","")))</f>
        <v/>
      </c>
      <c r="T249" s="25"/>
    </row>
    <row r="250" customFormat="false" ht="15" hidden="false" customHeight="false" outlineLevel="0" collapsed="false">
      <c r="A250" s="24"/>
      <c r="B250" s="24"/>
      <c r="C250" s="9"/>
      <c r="D250" s="25"/>
      <c r="E250" s="9"/>
      <c r="F250" s="24"/>
      <c r="G250" s="9"/>
      <c r="H250" s="9"/>
      <c r="I250" s="26"/>
      <c r="J250" s="26"/>
      <c r="K250" s="26"/>
      <c r="L250" s="24"/>
      <c r="M250" s="24"/>
      <c r="N250" s="14"/>
      <c r="O250" s="14"/>
      <c r="P250" s="27" t="str">
        <f aca="false">IF(OR(N250="",O250=""),"",O250-N250)</f>
        <v/>
      </c>
      <c r="Q250" s="28" t="str">
        <f aca="false">IF(A250="","",COUNTIF($B$5:$B$500,A250))</f>
        <v/>
      </c>
      <c r="R250" s="29" t="str">
        <f aca="false">IF(A250="","",IF(Q250&gt;0,COUNTIFS($B$5:$B$500,A250,$E$5:$E$500,"Done")/Q250,IF(E250="Done",1,0)))</f>
        <v/>
      </c>
      <c r="S250" s="30" t="str">
        <f aca="true">IF(OR(A250="",E250="Done",J250=""),"",IF(J250&lt;TODAY(),"OVERDUE",IF(J250-TODAY()&lt;=7,"Due this week","")))</f>
        <v/>
      </c>
      <c r="T250" s="25"/>
    </row>
    <row r="251" customFormat="false" ht="15" hidden="false" customHeight="false" outlineLevel="0" collapsed="false">
      <c r="A251" s="24"/>
      <c r="B251" s="24"/>
      <c r="C251" s="9"/>
      <c r="D251" s="25"/>
      <c r="E251" s="9"/>
      <c r="F251" s="24"/>
      <c r="G251" s="9"/>
      <c r="H251" s="9"/>
      <c r="I251" s="26"/>
      <c r="J251" s="26"/>
      <c r="K251" s="26"/>
      <c r="L251" s="24"/>
      <c r="M251" s="24"/>
      <c r="N251" s="14"/>
      <c r="O251" s="14"/>
      <c r="P251" s="27" t="str">
        <f aca="false">IF(OR(N251="",O251=""),"",O251-N251)</f>
        <v/>
      </c>
      <c r="Q251" s="28" t="str">
        <f aca="false">IF(A251="","",COUNTIF($B$5:$B$500,A251))</f>
        <v/>
      </c>
      <c r="R251" s="29" t="str">
        <f aca="false">IF(A251="","",IF(Q251&gt;0,COUNTIFS($B$5:$B$500,A251,$E$5:$E$500,"Done")/Q251,IF(E251="Done",1,0)))</f>
        <v/>
      </c>
      <c r="S251" s="30" t="str">
        <f aca="true">IF(OR(A251="",E251="Done",J251=""),"",IF(J251&lt;TODAY(),"OVERDUE",IF(J251-TODAY()&lt;=7,"Due this week","")))</f>
        <v/>
      </c>
      <c r="T251" s="25"/>
    </row>
    <row r="252" customFormat="false" ht="15" hidden="false" customHeight="false" outlineLevel="0" collapsed="false">
      <c r="A252" s="24"/>
      <c r="B252" s="24"/>
      <c r="C252" s="9"/>
      <c r="D252" s="25"/>
      <c r="E252" s="9"/>
      <c r="F252" s="24"/>
      <c r="G252" s="9"/>
      <c r="H252" s="9"/>
      <c r="I252" s="26"/>
      <c r="J252" s="26"/>
      <c r="K252" s="26"/>
      <c r="L252" s="24"/>
      <c r="M252" s="24"/>
      <c r="N252" s="14"/>
      <c r="O252" s="14"/>
      <c r="P252" s="27" t="str">
        <f aca="false">IF(OR(N252="",O252=""),"",O252-N252)</f>
        <v/>
      </c>
      <c r="Q252" s="28" t="str">
        <f aca="false">IF(A252="","",COUNTIF($B$5:$B$500,A252))</f>
        <v/>
      </c>
      <c r="R252" s="29" t="str">
        <f aca="false">IF(A252="","",IF(Q252&gt;0,COUNTIFS($B$5:$B$500,A252,$E$5:$E$500,"Done")/Q252,IF(E252="Done",1,0)))</f>
        <v/>
      </c>
      <c r="S252" s="30" t="str">
        <f aca="true">IF(OR(A252="",E252="Done",J252=""),"",IF(J252&lt;TODAY(),"OVERDUE",IF(J252-TODAY()&lt;=7,"Due this week","")))</f>
        <v/>
      </c>
      <c r="T252" s="25"/>
    </row>
    <row r="253" customFormat="false" ht="15" hidden="false" customHeight="false" outlineLevel="0" collapsed="false">
      <c r="A253" s="24"/>
      <c r="B253" s="24"/>
      <c r="C253" s="9"/>
      <c r="D253" s="25"/>
      <c r="E253" s="9"/>
      <c r="F253" s="24"/>
      <c r="G253" s="9"/>
      <c r="H253" s="9"/>
      <c r="I253" s="26"/>
      <c r="J253" s="26"/>
      <c r="K253" s="26"/>
      <c r="L253" s="24"/>
      <c r="M253" s="24"/>
      <c r="N253" s="14"/>
      <c r="O253" s="14"/>
      <c r="P253" s="27" t="str">
        <f aca="false">IF(OR(N253="",O253=""),"",O253-N253)</f>
        <v/>
      </c>
      <c r="Q253" s="28" t="str">
        <f aca="false">IF(A253="","",COUNTIF($B$5:$B$500,A253))</f>
        <v/>
      </c>
      <c r="R253" s="29" t="str">
        <f aca="false">IF(A253="","",IF(Q253&gt;0,COUNTIFS($B$5:$B$500,A253,$E$5:$E$500,"Done")/Q253,IF(E253="Done",1,0)))</f>
        <v/>
      </c>
      <c r="S253" s="30" t="str">
        <f aca="true">IF(OR(A253="",E253="Done",J253=""),"",IF(J253&lt;TODAY(),"OVERDUE",IF(J253-TODAY()&lt;=7,"Due this week","")))</f>
        <v/>
      </c>
      <c r="T253" s="25"/>
    </row>
    <row r="254" customFormat="false" ht="15" hidden="false" customHeight="false" outlineLevel="0" collapsed="false">
      <c r="A254" s="24"/>
      <c r="B254" s="24"/>
      <c r="C254" s="9"/>
      <c r="D254" s="25"/>
      <c r="E254" s="9"/>
      <c r="F254" s="24"/>
      <c r="G254" s="9"/>
      <c r="H254" s="9"/>
      <c r="I254" s="26"/>
      <c r="J254" s="26"/>
      <c r="K254" s="26"/>
      <c r="L254" s="24"/>
      <c r="M254" s="24"/>
      <c r="N254" s="14"/>
      <c r="O254" s="14"/>
      <c r="P254" s="27" t="str">
        <f aca="false">IF(OR(N254="",O254=""),"",O254-N254)</f>
        <v/>
      </c>
      <c r="Q254" s="28" t="str">
        <f aca="false">IF(A254="","",COUNTIF($B$5:$B$500,A254))</f>
        <v/>
      </c>
      <c r="R254" s="29" t="str">
        <f aca="false">IF(A254="","",IF(Q254&gt;0,COUNTIFS($B$5:$B$500,A254,$E$5:$E$500,"Done")/Q254,IF(E254="Done",1,0)))</f>
        <v/>
      </c>
      <c r="S254" s="30" t="str">
        <f aca="true">IF(OR(A254="",E254="Done",J254=""),"",IF(J254&lt;TODAY(),"OVERDUE",IF(J254-TODAY()&lt;=7,"Due this week","")))</f>
        <v/>
      </c>
      <c r="T254" s="25"/>
    </row>
    <row r="255" customFormat="false" ht="15" hidden="false" customHeight="false" outlineLevel="0" collapsed="false">
      <c r="A255" s="24"/>
      <c r="B255" s="24"/>
      <c r="C255" s="9"/>
      <c r="D255" s="25"/>
      <c r="E255" s="9"/>
      <c r="F255" s="24"/>
      <c r="G255" s="9"/>
      <c r="H255" s="9"/>
      <c r="I255" s="26"/>
      <c r="J255" s="26"/>
      <c r="K255" s="26"/>
      <c r="L255" s="24"/>
      <c r="M255" s="24"/>
      <c r="N255" s="14"/>
      <c r="O255" s="14"/>
      <c r="P255" s="27" t="str">
        <f aca="false">IF(OR(N255="",O255=""),"",O255-N255)</f>
        <v/>
      </c>
      <c r="Q255" s="28" t="str">
        <f aca="false">IF(A255="","",COUNTIF($B$5:$B$500,A255))</f>
        <v/>
      </c>
      <c r="R255" s="29" t="str">
        <f aca="false">IF(A255="","",IF(Q255&gt;0,COUNTIFS($B$5:$B$500,A255,$E$5:$E$500,"Done")/Q255,IF(E255="Done",1,0)))</f>
        <v/>
      </c>
      <c r="S255" s="30" t="str">
        <f aca="true">IF(OR(A255="",E255="Done",J255=""),"",IF(J255&lt;TODAY(),"OVERDUE",IF(J255-TODAY()&lt;=7,"Due this week","")))</f>
        <v/>
      </c>
      <c r="T255" s="25"/>
    </row>
    <row r="256" customFormat="false" ht="15" hidden="false" customHeight="false" outlineLevel="0" collapsed="false">
      <c r="A256" s="24"/>
      <c r="B256" s="24"/>
      <c r="C256" s="9"/>
      <c r="D256" s="25"/>
      <c r="E256" s="9"/>
      <c r="F256" s="24"/>
      <c r="G256" s="9"/>
      <c r="H256" s="9"/>
      <c r="I256" s="26"/>
      <c r="J256" s="26"/>
      <c r="K256" s="26"/>
      <c r="L256" s="24"/>
      <c r="M256" s="24"/>
      <c r="N256" s="14"/>
      <c r="O256" s="14"/>
      <c r="P256" s="27" t="str">
        <f aca="false">IF(OR(N256="",O256=""),"",O256-N256)</f>
        <v/>
      </c>
      <c r="Q256" s="28" t="str">
        <f aca="false">IF(A256="","",COUNTIF($B$5:$B$500,A256))</f>
        <v/>
      </c>
      <c r="R256" s="29" t="str">
        <f aca="false">IF(A256="","",IF(Q256&gt;0,COUNTIFS($B$5:$B$500,A256,$E$5:$E$500,"Done")/Q256,IF(E256="Done",1,0)))</f>
        <v/>
      </c>
      <c r="S256" s="30" t="str">
        <f aca="true">IF(OR(A256="",E256="Done",J256=""),"",IF(J256&lt;TODAY(),"OVERDUE",IF(J256-TODAY()&lt;=7,"Due this week","")))</f>
        <v/>
      </c>
      <c r="T256" s="25"/>
    </row>
    <row r="257" customFormat="false" ht="15" hidden="false" customHeight="false" outlineLevel="0" collapsed="false">
      <c r="A257" s="24"/>
      <c r="B257" s="24"/>
      <c r="C257" s="9"/>
      <c r="D257" s="25"/>
      <c r="E257" s="9"/>
      <c r="F257" s="24"/>
      <c r="G257" s="9"/>
      <c r="H257" s="9"/>
      <c r="I257" s="26"/>
      <c r="J257" s="26"/>
      <c r="K257" s="26"/>
      <c r="L257" s="24"/>
      <c r="M257" s="24"/>
      <c r="N257" s="14"/>
      <c r="O257" s="14"/>
      <c r="P257" s="27" t="str">
        <f aca="false">IF(OR(N257="",O257=""),"",O257-N257)</f>
        <v/>
      </c>
      <c r="Q257" s="28" t="str">
        <f aca="false">IF(A257="","",COUNTIF($B$5:$B$500,A257))</f>
        <v/>
      </c>
      <c r="R257" s="29" t="str">
        <f aca="false">IF(A257="","",IF(Q257&gt;0,COUNTIFS($B$5:$B$500,A257,$E$5:$E$500,"Done")/Q257,IF(E257="Done",1,0)))</f>
        <v/>
      </c>
      <c r="S257" s="30" t="str">
        <f aca="true">IF(OR(A257="",E257="Done",J257=""),"",IF(J257&lt;TODAY(),"OVERDUE",IF(J257-TODAY()&lt;=7,"Due this week","")))</f>
        <v/>
      </c>
      <c r="T257" s="25"/>
    </row>
    <row r="258" customFormat="false" ht="15" hidden="false" customHeight="false" outlineLevel="0" collapsed="false">
      <c r="A258" s="24"/>
      <c r="B258" s="24"/>
      <c r="C258" s="9"/>
      <c r="D258" s="25"/>
      <c r="E258" s="9"/>
      <c r="F258" s="24"/>
      <c r="G258" s="9"/>
      <c r="H258" s="9"/>
      <c r="I258" s="26"/>
      <c r="J258" s="26"/>
      <c r="K258" s="26"/>
      <c r="L258" s="24"/>
      <c r="M258" s="24"/>
      <c r="N258" s="14"/>
      <c r="O258" s="14"/>
      <c r="P258" s="27" t="str">
        <f aca="false">IF(OR(N258="",O258=""),"",O258-N258)</f>
        <v/>
      </c>
      <c r="Q258" s="28" t="str">
        <f aca="false">IF(A258="","",COUNTIF($B$5:$B$500,A258))</f>
        <v/>
      </c>
      <c r="R258" s="29" t="str">
        <f aca="false">IF(A258="","",IF(Q258&gt;0,COUNTIFS($B$5:$B$500,A258,$E$5:$E$500,"Done")/Q258,IF(E258="Done",1,0)))</f>
        <v/>
      </c>
      <c r="S258" s="30" t="str">
        <f aca="true">IF(OR(A258="",E258="Done",J258=""),"",IF(J258&lt;TODAY(),"OVERDUE",IF(J258-TODAY()&lt;=7,"Due this week","")))</f>
        <v/>
      </c>
      <c r="T258" s="25"/>
    </row>
    <row r="259" customFormat="false" ht="15" hidden="false" customHeight="false" outlineLevel="0" collapsed="false">
      <c r="A259" s="24"/>
      <c r="B259" s="24"/>
      <c r="C259" s="9"/>
      <c r="D259" s="25"/>
      <c r="E259" s="9"/>
      <c r="F259" s="24"/>
      <c r="G259" s="9"/>
      <c r="H259" s="9"/>
      <c r="I259" s="26"/>
      <c r="J259" s="26"/>
      <c r="K259" s="26"/>
      <c r="L259" s="24"/>
      <c r="M259" s="24"/>
      <c r="N259" s="14"/>
      <c r="O259" s="14"/>
      <c r="P259" s="27" t="str">
        <f aca="false">IF(OR(N259="",O259=""),"",O259-N259)</f>
        <v/>
      </c>
      <c r="Q259" s="28" t="str">
        <f aca="false">IF(A259="","",COUNTIF($B$5:$B$500,A259))</f>
        <v/>
      </c>
      <c r="R259" s="29" t="str">
        <f aca="false">IF(A259="","",IF(Q259&gt;0,COUNTIFS($B$5:$B$500,A259,$E$5:$E$500,"Done")/Q259,IF(E259="Done",1,0)))</f>
        <v/>
      </c>
      <c r="S259" s="30" t="str">
        <f aca="true">IF(OR(A259="",E259="Done",J259=""),"",IF(J259&lt;TODAY(),"OVERDUE",IF(J259-TODAY()&lt;=7,"Due this week","")))</f>
        <v/>
      </c>
      <c r="T259" s="25"/>
    </row>
    <row r="260" customFormat="false" ht="15" hidden="false" customHeight="false" outlineLevel="0" collapsed="false">
      <c r="A260" s="24"/>
      <c r="B260" s="24"/>
      <c r="C260" s="9"/>
      <c r="D260" s="25"/>
      <c r="E260" s="9"/>
      <c r="F260" s="24"/>
      <c r="G260" s="9"/>
      <c r="H260" s="9"/>
      <c r="I260" s="26"/>
      <c r="J260" s="26"/>
      <c r="K260" s="26"/>
      <c r="L260" s="24"/>
      <c r="M260" s="24"/>
      <c r="N260" s="14"/>
      <c r="O260" s="14"/>
      <c r="P260" s="27" t="str">
        <f aca="false">IF(OR(N260="",O260=""),"",O260-N260)</f>
        <v/>
      </c>
      <c r="Q260" s="28" t="str">
        <f aca="false">IF(A260="","",COUNTIF($B$5:$B$500,A260))</f>
        <v/>
      </c>
      <c r="R260" s="29" t="str">
        <f aca="false">IF(A260="","",IF(Q260&gt;0,COUNTIFS($B$5:$B$500,A260,$E$5:$E$500,"Done")/Q260,IF(E260="Done",1,0)))</f>
        <v/>
      </c>
      <c r="S260" s="30" t="str">
        <f aca="true">IF(OR(A260="",E260="Done",J260=""),"",IF(J260&lt;TODAY(),"OVERDUE",IF(J260-TODAY()&lt;=7,"Due this week","")))</f>
        <v/>
      </c>
      <c r="T260" s="25"/>
    </row>
    <row r="261" customFormat="false" ht="15" hidden="false" customHeight="false" outlineLevel="0" collapsed="false">
      <c r="A261" s="24"/>
      <c r="B261" s="24"/>
      <c r="C261" s="9"/>
      <c r="D261" s="25"/>
      <c r="E261" s="9"/>
      <c r="F261" s="24"/>
      <c r="G261" s="9"/>
      <c r="H261" s="9"/>
      <c r="I261" s="26"/>
      <c r="J261" s="26"/>
      <c r="K261" s="26"/>
      <c r="L261" s="24"/>
      <c r="M261" s="24"/>
      <c r="N261" s="14"/>
      <c r="O261" s="14"/>
      <c r="P261" s="27" t="str">
        <f aca="false">IF(OR(N261="",O261=""),"",O261-N261)</f>
        <v/>
      </c>
      <c r="Q261" s="28" t="str">
        <f aca="false">IF(A261="","",COUNTIF($B$5:$B$500,A261))</f>
        <v/>
      </c>
      <c r="R261" s="29" t="str">
        <f aca="false">IF(A261="","",IF(Q261&gt;0,COUNTIFS($B$5:$B$500,A261,$E$5:$E$500,"Done")/Q261,IF(E261="Done",1,0)))</f>
        <v/>
      </c>
      <c r="S261" s="30" t="str">
        <f aca="true">IF(OR(A261="",E261="Done",J261=""),"",IF(J261&lt;TODAY(),"OVERDUE",IF(J261-TODAY()&lt;=7,"Due this week","")))</f>
        <v/>
      </c>
      <c r="T261" s="25"/>
    </row>
    <row r="262" customFormat="false" ht="15" hidden="false" customHeight="false" outlineLevel="0" collapsed="false">
      <c r="A262" s="24"/>
      <c r="B262" s="24"/>
      <c r="C262" s="9"/>
      <c r="D262" s="25"/>
      <c r="E262" s="9"/>
      <c r="F262" s="24"/>
      <c r="G262" s="9"/>
      <c r="H262" s="9"/>
      <c r="I262" s="26"/>
      <c r="J262" s="26"/>
      <c r="K262" s="26"/>
      <c r="L262" s="24"/>
      <c r="M262" s="24"/>
      <c r="N262" s="14"/>
      <c r="O262" s="14"/>
      <c r="P262" s="27" t="str">
        <f aca="false">IF(OR(N262="",O262=""),"",O262-N262)</f>
        <v/>
      </c>
      <c r="Q262" s="28" t="str">
        <f aca="false">IF(A262="","",COUNTIF($B$5:$B$500,A262))</f>
        <v/>
      </c>
      <c r="R262" s="29" t="str">
        <f aca="false">IF(A262="","",IF(Q262&gt;0,COUNTIFS($B$5:$B$500,A262,$E$5:$E$500,"Done")/Q262,IF(E262="Done",1,0)))</f>
        <v/>
      </c>
      <c r="S262" s="30" t="str">
        <f aca="true">IF(OR(A262="",E262="Done",J262=""),"",IF(J262&lt;TODAY(),"OVERDUE",IF(J262-TODAY()&lt;=7,"Due this week","")))</f>
        <v/>
      </c>
      <c r="T262" s="25"/>
    </row>
    <row r="263" customFormat="false" ht="15" hidden="false" customHeight="false" outlineLevel="0" collapsed="false">
      <c r="A263" s="24"/>
      <c r="B263" s="24"/>
      <c r="C263" s="9"/>
      <c r="D263" s="25"/>
      <c r="E263" s="9"/>
      <c r="F263" s="24"/>
      <c r="G263" s="9"/>
      <c r="H263" s="9"/>
      <c r="I263" s="26"/>
      <c r="J263" s="26"/>
      <c r="K263" s="26"/>
      <c r="L263" s="24"/>
      <c r="M263" s="24"/>
      <c r="N263" s="14"/>
      <c r="O263" s="14"/>
      <c r="P263" s="27" t="str">
        <f aca="false">IF(OR(N263="",O263=""),"",O263-N263)</f>
        <v/>
      </c>
      <c r="Q263" s="28" t="str">
        <f aca="false">IF(A263="","",COUNTIF($B$5:$B$500,A263))</f>
        <v/>
      </c>
      <c r="R263" s="29" t="str">
        <f aca="false">IF(A263="","",IF(Q263&gt;0,COUNTIFS($B$5:$B$500,A263,$E$5:$E$500,"Done")/Q263,IF(E263="Done",1,0)))</f>
        <v/>
      </c>
      <c r="S263" s="30" t="str">
        <f aca="true">IF(OR(A263="",E263="Done",J263=""),"",IF(J263&lt;TODAY(),"OVERDUE",IF(J263-TODAY()&lt;=7,"Due this week","")))</f>
        <v/>
      </c>
      <c r="T263" s="25"/>
    </row>
    <row r="264" customFormat="false" ht="15" hidden="false" customHeight="false" outlineLevel="0" collapsed="false">
      <c r="A264" s="24"/>
      <c r="B264" s="24"/>
      <c r="C264" s="9"/>
      <c r="D264" s="25"/>
      <c r="E264" s="9"/>
      <c r="F264" s="24"/>
      <c r="G264" s="9"/>
      <c r="H264" s="9"/>
      <c r="I264" s="26"/>
      <c r="J264" s="26"/>
      <c r="K264" s="26"/>
      <c r="L264" s="24"/>
      <c r="M264" s="24"/>
      <c r="N264" s="14"/>
      <c r="O264" s="14"/>
      <c r="P264" s="27" t="str">
        <f aca="false">IF(OR(N264="",O264=""),"",O264-N264)</f>
        <v/>
      </c>
      <c r="Q264" s="28" t="str">
        <f aca="false">IF(A264="","",COUNTIF($B$5:$B$500,A264))</f>
        <v/>
      </c>
      <c r="R264" s="29" t="str">
        <f aca="false">IF(A264="","",IF(Q264&gt;0,COUNTIFS($B$5:$B$500,A264,$E$5:$E$500,"Done")/Q264,IF(E264="Done",1,0)))</f>
        <v/>
      </c>
      <c r="S264" s="30" t="str">
        <f aca="true">IF(OR(A264="",E264="Done",J264=""),"",IF(J264&lt;TODAY(),"OVERDUE",IF(J264-TODAY()&lt;=7,"Due this week","")))</f>
        <v/>
      </c>
      <c r="T264" s="25"/>
    </row>
    <row r="265" customFormat="false" ht="15" hidden="false" customHeight="false" outlineLevel="0" collapsed="false">
      <c r="A265" s="24"/>
      <c r="B265" s="24"/>
      <c r="C265" s="9"/>
      <c r="D265" s="25"/>
      <c r="E265" s="9"/>
      <c r="F265" s="24"/>
      <c r="G265" s="9"/>
      <c r="H265" s="9"/>
      <c r="I265" s="26"/>
      <c r="J265" s="26"/>
      <c r="K265" s="26"/>
      <c r="L265" s="24"/>
      <c r="M265" s="24"/>
      <c r="N265" s="14"/>
      <c r="O265" s="14"/>
      <c r="P265" s="27" t="str">
        <f aca="false">IF(OR(N265="",O265=""),"",O265-N265)</f>
        <v/>
      </c>
      <c r="Q265" s="28" t="str">
        <f aca="false">IF(A265="","",COUNTIF($B$5:$B$500,A265))</f>
        <v/>
      </c>
      <c r="R265" s="29" t="str">
        <f aca="false">IF(A265="","",IF(Q265&gt;0,COUNTIFS($B$5:$B$500,A265,$E$5:$E$500,"Done")/Q265,IF(E265="Done",1,0)))</f>
        <v/>
      </c>
      <c r="S265" s="30" t="str">
        <f aca="true">IF(OR(A265="",E265="Done",J265=""),"",IF(J265&lt;TODAY(),"OVERDUE",IF(J265-TODAY()&lt;=7,"Due this week","")))</f>
        <v/>
      </c>
      <c r="T265" s="25"/>
    </row>
    <row r="266" customFormat="false" ht="15" hidden="false" customHeight="false" outlineLevel="0" collapsed="false">
      <c r="A266" s="24"/>
      <c r="B266" s="24"/>
      <c r="C266" s="9"/>
      <c r="D266" s="25"/>
      <c r="E266" s="9"/>
      <c r="F266" s="24"/>
      <c r="G266" s="9"/>
      <c r="H266" s="9"/>
      <c r="I266" s="26"/>
      <c r="J266" s="26"/>
      <c r="K266" s="26"/>
      <c r="L266" s="24"/>
      <c r="M266" s="24"/>
      <c r="N266" s="14"/>
      <c r="O266" s="14"/>
      <c r="P266" s="27" t="str">
        <f aca="false">IF(OR(N266="",O266=""),"",O266-N266)</f>
        <v/>
      </c>
      <c r="Q266" s="28" t="str">
        <f aca="false">IF(A266="","",COUNTIF($B$5:$B$500,A266))</f>
        <v/>
      </c>
      <c r="R266" s="29" t="str">
        <f aca="false">IF(A266="","",IF(Q266&gt;0,COUNTIFS($B$5:$B$500,A266,$E$5:$E$500,"Done")/Q266,IF(E266="Done",1,0)))</f>
        <v/>
      </c>
      <c r="S266" s="30" t="str">
        <f aca="true">IF(OR(A266="",E266="Done",J266=""),"",IF(J266&lt;TODAY(),"OVERDUE",IF(J266-TODAY()&lt;=7,"Due this week","")))</f>
        <v/>
      </c>
      <c r="T266" s="25"/>
    </row>
    <row r="267" customFormat="false" ht="15" hidden="false" customHeight="false" outlineLevel="0" collapsed="false">
      <c r="A267" s="24"/>
      <c r="B267" s="24"/>
      <c r="C267" s="9"/>
      <c r="D267" s="25"/>
      <c r="E267" s="9"/>
      <c r="F267" s="24"/>
      <c r="G267" s="9"/>
      <c r="H267" s="9"/>
      <c r="I267" s="26"/>
      <c r="J267" s="26"/>
      <c r="K267" s="26"/>
      <c r="L267" s="24"/>
      <c r="M267" s="24"/>
      <c r="N267" s="14"/>
      <c r="O267" s="14"/>
      <c r="P267" s="27" t="str">
        <f aca="false">IF(OR(N267="",O267=""),"",O267-N267)</f>
        <v/>
      </c>
      <c r="Q267" s="28" t="str">
        <f aca="false">IF(A267="","",COUNTIF($B$5:$B$500,A267))</f>
        <v/>
      </c>
      <c r="R267" s="29" t="str">
        <f aca="false">IF(A267="","",IF(Q267&gt;0,COUNTIFS($B$5:$B$500,A267,$E$5:$E$500,"Done")/Q267,IF(E267="Done",1,0)))</f>
        <v/>
      </c>
      <c r="S267" s="30" t="str">
        <f aca="true">IF(OR(A267="",E267="Done",J267=""),"",IF(J267&lt;TODAY(),"OVERDUE",IF(J267-TODAY()&lt;=7,"Due this week","")))</f>
        <v/>
      </c>
      <c r="T267" s="25"/>
    </row>
    <row r="268" customFormat="false" ht="15" hidden="false" customHeight="false" outlineLevel="0" collapsed="false">
      <c r="A268" s="24"/>
      <c r="B268" s="24"/>
      <c r="C268" s="9"/>
      <c r="D268" s="25"/>
      <c r="E268" s="9"/>
      <c r="F268" s="24"/>
      <c r="G268" s="9"/>
      <c r="H268" s="9"/>
      <c r="I268" s="26"/>
      <c r="J268" s="26"/>
      <c r="K268" s="26"/>
      <c r="L268" s="24"/>
      <c r="M268" s="24"/>
      <c r="N268" s="14"/>
      <c r="O268" s="14"/>
      <c r="P268" s="27" t="str">
        <f aca="false">IF(OR(N268="",O268=""),"",O268-N268)</f>
        <v/>
      </c>
      <c r="Q268" s="28" t="str">
        <f aca="false">IF(A268="","",COUNTIF($B$5:$B$500,A268))</f>
        <v/>
      </c>
      <c r="R268" s="29" t="str">
        <f aca="false">IF(A268="","",IF(Q268&gt;0,COUNTIFS($B$5:$B$500,A268,$E$5:$E$500,"Done")/Q268,IF(E268="Done",1,0)))</f>
        <v/>
      </c>
      <c r="S268" s="30" t="str">
        <f aca="true">IF(OR(A268="",E268="Done",J268=""),"",IF(J268&lt;TODAY(),"OVERDUE",IF(J268-TODAY()&lt;=7,"Due this week","")))</f>
        <v/>
      </c>
      <c r="T268" s="25"/>
    </row>
    <row r="269" customFormat="false" ht="15" hidden="false" customHeight="false" outlineLevel="0" collapsed="false">
      <c r="A269" s="24"/>
      <c r="B269" s="24"/>
      <c r="C269" s="9"/>
      <c r="D269" s="25"/>
      <c r="E269" s="9"/>
      <c r="F269" s="24"/>
      <c r="G269" s="9"/>
      <c r="H269" s="9"/>
      <c r="I269" s="26"/>
      <c r="J269" s="26"/>
      <c r="K269" s="26"/>
      <c r="L269" s="24"/>
      <c r="M269" s="24"/>
      <c r="N269" s="14"/>
      <c r="O269" s="14"/>
      <c r="P269" s="27" t="str">
        <f aca="false">IF(OR(N269="",O269=""),"",O269-N269)</f>
        <v/>
      </c>
      <c r="Q269" s="28" t="str">
        <f aca="false">IF(A269="","",COUNTIF($B$5:$B$500,A269))</f>
        <v/>
      </c>
      <c r="R269" s="29" t="str">
        <f aca="false">IF(A269="","",IF(Q269&gt;0,COUNTIFS($B$5:$B$500,A269,$E$5:$E$500,"Done")/Q269,IF(E269="Done",1,0)))</f>
        <v/>
      </c>
      <c r="S269" s="30" t="str">
        <f aca="true">IF(OR(A269="",E269="Done",J269=""),"",IF(J269&lt;TODAY(),"OVERDUE",IF(J269-TODAY()&lt;=7,"Due this week","")))</f>
        <v/>
      </c>
      <c r="T269" s="25"/>
    </row>
    <row r="270" customFormat="false" ht="15" hidden="false" customHeight="false" outlineLevel="0" collapsed="false">
      <c r="A270" s="24"/>
      <c r="B270" s="24"/>
      <c r="C270" s="9"/>
      <c r="D270" s="25"/>
      <c r="E270" s="9"/>
      <c r="F270" s="24"/>
      <c r="G270" s="9"/>
      <c r="H270" s="9"/>
      <c r="I270" s="26"/>
      <c r="J270" s="26"/>
      <c r="K270" s="26"/>
      <c r="L270" s="24"/>
      <c r="M270" s="24"/>
      <c r="N270" s="14"/>
      <c r="O270" s="14"/>
      <c r="P270" s="27" t="str">
        <f aca="false">IF(OR(N270="",O270=""),"",O270-N270)</f>
        <v/>
      </c>
      <c r="Q270" s="28" t="str">
        <f aca="false">IF(A270="","",COUNTIF($B$5:$B$500,A270))</f>
        <v/>
      </c>
      <c r="R270" s="29" t="str">
        <f aca="false">IF(A270="","",IF(Q270&gt;0,COUNTIFS($B$5:$B$500,A270,$E$5:$E$500,"Done")/Q270,IF(E270="Done",1,0)))</f>
        <v/>
      </c>
      <c r="S270" s="30" t="str">
        <f aca="true">IF(OR(A270="",E270="Done",J270=""),"",IF(J270&lt;TODAY(),"OVERDUE",IF(J270-TODAY()&lt;=7,"Due this week","")))</f>
        <v/>
      </c>
      <c r="T270" s="25"/>
    </row>
    <row r="271" customFormat="false" ht="15" hidden="false" customHeight="false" outlineLevel="0" collapsed="false">
      <c r="A271" s="24"/>
      <c r="B271" s="24"/>
      <c r="C271" s="9"/>
      <c r="D271" s="25"/>
      <c r="E271" s="9"/>
      <c r="F271" s="24"/>
      <c r="G271" s="9"/>
      <c r="H271" s="9"/>
      <c r="I271" s="26"/>
      <c r="J271" s="26"/>
      <c r="K271" s="26"/>
      <c r="L271" s="24"/>
      <c r="M271" s="24"/>
      <c r="N271" s="14"/>
      <c r="O271" s="14"/>
      <c r="P271" s="27" t="str">
        <f aca="false">IF(OR(N271="",O271=""),"",O271-N271)</f>
        <v/>
      </c>
      <c r="Q271" s="28" t="str">
        <f aca="false">IF(A271="","",COUNTIF($B$5:$B$500,A271))</f>
        <v/>
      </c>
      <c r="R271" s="29" t="str">
        <f aca="false">IF(A271="","",IF(Q271&gt;0,COUNTIFS($B$5:$B$500,A271,$E$5:$E$500,"Done")/Q271,IF(E271="Done",1,0)))</f>
        <v/>
      </c>
      <c r="S271" s="30" t="str">
        <f aca="true">IF(OR(A271="",E271="Done",J271=""),"",IF(J271&lt;TODAY(),"OVERDUE",IF(J271-TODAY()&lt;=7,"Due this week","")))</f>
        <v/>
      </c>
      <c r="T271" s="25"/>
    </row>
    <row r="272" customFormat="false" ht="15" hidden="false" customHeight="false" outlineLevel="0" collapsed="false">
      <c r="A272" s="24"/>
      <c r="B272" s="24"/>
      <c r="C272" s="9"/>
      <c r="D272" s="25"/>
      <c r="E272" s="9"/>
      <c r="F272" s="24"/>
      <c r="G272" s="9"/>
      <c r="H272" s="9"/>
      <c r="I272" s="26"/>
      <c r="J272" s="26"/>
      <c r="K272" s="26"/>
      <c r="L272" s="24"/>
      <c r="M272" s="24"/>
      <c r="N272" s="14"/>
      <c r="O272" s="14"/>
      <c r="P272" s="27" t="str">
        <f aca="false">IF(OR(N272="",O272=""),"",O272-N272)</f>
        <v/>
      </c>
      <c r="Q272" s="28" t="str">
        <f aca="false">IF(A272="","",COUNTIF($B$5:$B$500,A272))</f>
        <v/>
      </c>
      <c r="R272" s="29" t="str">
        <f aca="false">IF(A272="","",IF(Q272&gt;0,COUNTIFS($B$5:$B$500,A272,$E$5:$E$500,"Done")/Q272,IF(E272="Done",1,0)))</f>
        <v/>
      </c>
      <c r="S272" s="30" t="str">
        <f aca="true">IF(OR(A272="",E272="Done",J272=""),"",IF(J272&lt;TODAY(),"OVERDUE",IF(J272-TODAY()&lt;=7,"Due this week","")))</f>
        <v/>
      </c>
      <c r="T272" s="25"/>
    </row>
    <row r="273" customFormat="false" ht="15" hidden="false" customHeight="false" outlineLevel="0" collapsed="false">
      <c r="A273" s="24"/>
      <c r="B273" s="24"/>
      <c r="C273" s="9"/>
      <c r="D273" s="25"/>
      <c r="E273" s="9"/>
      <c r="F273" s="24"/>
      <c r="G273" s="9"/>
      <c r="H273" s="9"/>
      <c r="I273" s="26"/>
      <c r="J273" s="26"/>
      <c r="K273" s="26"/>
      <c r="L273" s="24"/>
      <c r="M273" s="24"/>
      <c r="N273" s="14"/>
      <c r="O273" s="14"/>
      <c r="P273" s="27" t="str">
        <f aca="false">IF(OR(N273="",O273=""),"",O273-N273)</f>
        <v/>
      </c>
      <c r="Q273" s="28" t="str">
        <f aca="false">IF(A273="","",COUNTIF($B$5:$B$500,A273))</f>
        <v/>
      </c>
      <c r="R273" s="29" t="str">
        <f aca="false">IF(A273="","",IF(Q273&gt;0,COUNTIFS($B$5:$B$500,A273,$E$5:$E$500,"Done")/Q273,IF(E273="Done",1,0)))</f>
        <v/>
      </c>
      <c r="S273" s="30" t="str">
        <f aca="true">IF(OR(A273="",E273="Done",J273=""),"",IF(J273&lt;TODAY(),"OVERDUE",IF(J273-TODAY()&lt;=7,"Due this week","")))</f>
        <v/>
      </c>
      <c r="T273" s="25"/>
    </row>
    <row r="274" customFormat="false" ht="15" hidden="false" customHeight="false" outlineLevel="0" collapsed="false">
      <c r="A274" s="24"/>
      <c r="B274" s="24"/>
      <c r="C274" s="9"/>
      <c r="D274" s="25"/>
      <c r="E274" s="9"/>
      <c r="F274" s="24"/>
      <c r="G274" s="9"/>
      <c r="H274" s="9"/>
      <c r="I274" s="26"/>
      <c r="J274" s="26"/>
      <c r="K274" s="26"/>
      <c r="L274" s="24"/>
      <c r="M274" s="24"/>
      <c r="N274" s="14"/>
      <c r="O274" s="14"/>
      <c r="P274" s="27" t="str">
        <f aca="false">IF(OR(N274="",O274=""),"",O274-N274)</f>
        <v/>
      </c>
      <c r="Q274" s="28" t="str">
        <f aca="false">IF(A274="","",COUNTIF($B$5:$B$500,A274))</f>
        <v/>
      </c>
      <c r="R274" s="29" t="str">
        <f aca="false">IF(A274="","",IF(Q274&gt;0,COUNTIFS($B$5:$B$500,A274,$E$5:$E$500,"Done")/Q274,IF(E274="Done",1,0)))</f>
        <v/>
      </c>
      <c r="S274" s="30" t="str">
        <f aca="true">IF(OR(A274="",E274="Done",J274=""),"",IF(J274&lt;TODAY(),"OVERDUE",IF(J274-TODAY()&lt;=7,"Due this week","")))</f>
        <v/>
      </c>
      <c r="T274" s="25"/>
    </row>
    <row r="275" customFormat="false" ht="15" hidden="false" customHeight="false" outlineLevel="0" collapsed="false">
      <c r="A275" s="24"/>
      <c r="B275" s="24"/>
      <c r="C275" s="9"/>
      <c r="D275" s="25"/>
      <c r="E275" s="9"/>
      <c r="F275" s="24"/>
      <c r="G275" s="9"/>
      <c r="H275" s="9"/>
      <c r="I275" s="26"/>
      <c r="J275" s="26"/>
      <c r="K275" s="26"/>
      <c r="L275" s="24"/>
      <c r="M275" s="24"/>
      <c r="N275" s="14"/>
      <c r="O275" s="14"/>
      <c r="P275" s="27" t="str">
        <f aca="false">IF(OR(N275="",O275=""),"",O275-N275)</f>
        <v/>
      </c>
      <c r="Q275" s="28" t="str">
        <f aca="false">IF(A275="","",COUNTIF($B$5:$B$500,A275))</f>
        <v/>
      </c>
      <c r="R275" s="29" t="str">
        <f aca="false">IF(A275="","",IF(Q275&gt;0,COUNTIFS($B$5:$B$500,A275,$E$5:$E$500,"Done")/Q275,IF(E275="Done",1,0)))</f>
        <v/>
      </c>
      <c r="S275" s="30" t="str">
        <f aca="true">IF(OR(A275="",E275="Done",J275=""),"",IF(J275&lt;TODAY(),"OVERDUE",IF(J275-TODAY()&lt;=7,"Due this week","")))</f>
        <v/>
      </c>
      <c r="T275" s="25"/>
    </row>
    <row r="276" customFormat="false" ht="15" hidden="false" customHeight="false" outlineLevel="0" collapsed="false">
      <c r="A276" s="24"/>
      <c r="B276" s="24"/>
      <c r="C276" s="9"/>
      <c r="D276" s="25"/>
      <c r="E276" s="9"/>
      <c r="F276" s="24"/>
      <c r="G276" s="9"/>
      <c r="H276" s="9"/>
      <c r="I276" s="26"/>
      <c r="J276" s="26"/>
      <c r="K276" s="26"/>
      <c r="L276" s="24"/>
      <c r="M276" s="24"/>
      <c r="N276" s="14"/>
      <c r="O276" s="14"/>
      <c r="P276" s="27" t="str">
        <f aca="false">IF(OR(N276="",O276=""),"",O276-N276)</f>
        <v/>
      </c>
      <c r="Q276" s="28" t="str">
        <f aca="false">IF(A276="","",COUNTIF($B$5:$B$500,A276))</f>
        <v/>
      </c>
      <c r="R276" s="29" t="str">
        <f aca="false">IF(A276="","",IF(Q276&gt;0,COUNTIFS($B$5:$B$500,A276,$E$5:$E$500,"Done")/Q276,IF(E276="Done",1,0)))</f>
        <v/>
      </c>
      <c r="S276" s="30" t="str">
        <f aca="true">IF(OR(A276="",E276="Done",J276=""),"",IF(J276&lt;TODAY(),"OVERDUE",IF(J276-TODAY()&lt;=7,"Due this week","")))</f>
        <v/>
      </c>
      <c r="T276" s="25"/>
    </row>
    <row r="277" customFormat="false" ht="15" hidden="false" customHeight="false" outlineLevel="0" collapsed="false">
      <c r="A277" s="24"/>
      <c r="B277" s="24"/>
      <c r="C277" s="9"/>
      <c r="D277" s="25"/>
      <c r="E277" s="9"/>
      <c r="F277" s="24"/>
      <c r="G277" s="9"/>
      <c r="H277" s="9"/>
      <c r="I277" s="26"/>
      <c r="J277" s="26"/>
      <c r="K277" s="26"/>
      <c r="L277" s="24"/>
      <c r="M277" s="24"/>
      <c r="N277" s="14"/>
      <c r="O277" s="14"/>
      <c r="P277" s="27" t="str">
        <f aca="false">IF(OR(N277="",O277=""),"",O277-N277)</f>
        <v/>
      </c>
      <c r="Q277" s="28" t="str">
        <f aca="false">IF(A277="","",COUNTIF($B$5:$B$500,A277))</f>
        <v/>
      </c>
      <c r="R277" s="29" t="str">
        <f aca="false">IF(A277="","",IF(Q277&gt;0,COUNTIFS($B$5:$B$500,A277,$E$5:$E$500,"Done")/Q277,IF(E277="Done",1,0)))</f>
        <v/>
      </c>
      <c r="S277" s="30" t="str">
        <f aca="true">IF(OR(A277="",E277="Done",J277=""),"",IF(J277&lt;TODAY(),"OVERDUE",IF(J277-TODAY()&lt;=7,"Due this week","")))</f>
        <v/>
      </c>
      <c r="T277" s="25"/>
    </row>
    <row r="278" customFormat="false" ht="15" hidden="false" customHeight="false" outlineLevel="0" collapsed="false">
      <c r="A278" s="24"/>
      <c r="B278" s="24"/>
      <c r="C278" s="9"/>
      <c r="D278" s="25"/>
      <c r="E278" s="9"/>
      <c r="F278" s="24"/>
      <c r="G278" s="9"/>
      <c r="H278" s="9"/>
      <c r="I278" s="26"/>
      <c r="J278" s="26"/>
      <c r="K278" s="26"/>
      <c r="L278" s="24"/>
      <c r="M278" s="24"/>
      <c r="N278" s="14"/>
      <c r="O278" s="14"/>
      <c r="P278" s="27" t="str">
        <f aca="false">IF(OR(N278="",O278=""),"",O278-N278)</f>
        <v/>
      </c>
      <c r="Q278" s="28" t="str">
        <f aca="false">IF(A278="","",COUNTIF($B$5:$B$500,A278))</f>
        <v/>
      </c>
      <c r="R278" s="29" t="str">
        <f aca="false">IF(A278="","",IF(Q278&gt;0,COUNTIFS($B$5:$B$500,A278,$E$5:$E$500,"Done")/Q278,IF(E278="Done",1,0)))</f>
        <v/>
      </c>
      <c r="S278" s="30" t="str">
        <f aca="true">IF(OR(A278="",E278="Done",J278=""),"",IF(J278&lt;TODAY(),"OVERDUE",IF(J278-TODAY()&lt;=7,"Due this week","")))</f>
        <v/>
      </c>
      <c r="T278" s="25"/>
    </row>
    <row r="279" customFormat="false" ht="15" hidden="false" customHeight="false" outlineLevel="0" collapsed="false">
      <c r="A279" s="24"/>
      <c r="B279" s="24"/>
      <c r="C279" s="9"/>
      <c r="D279" s="25"/>
      <c r="E279" s="9"/>
      <c r="F279" s="24"/>
      <c r="G279" s="9"/>
      <c r="H279" s="9"/>
      <c r="I279" s="26"/>
      <c r="J279" s="26"/>
      <c r="K279" s="26"/>
      <c r="L279" s="24"/>
      <c r="M279" s="24"/>
      <c r="N279" s="14"/>
      <c r="O279" s="14"/>
      <c r="P279" s="27" t="str">
        <f aca="false">IF(OR(N279="",O279=""),"",O279-N279)</f>
        <v/>
      </c>
      <c r="Q279" s="28" t="str">
        <f aca="false">IF(A279="","",COUNTIF($B$5:$B$500,A279))</f>
        <v/>
      </c>
      <c r="R279" s="29" t="str">
        <f aca="false">IF(A279="","",IF(Q279&gt;0,COUNTIFS($B$5:$B$500,A279,$E$5:$E$500,"Done")/Q279,IF(E279="Done",1,0)))</f>
        <v/>
      </c>
      <c r="S279" s="30" t="str">
        <f aca="true">IF(OR(A279="",E279="Done",J279=""),"",IF(J279&lt;TODAY(),"OVERDUE",IF(J279-TODAY()&lt;=7,"Due this week","")))</f>
        <v/>
      </c>
      <c r="T279" s="25"/>
    </row>
    <row r="280" customFormat="false" ht="15" hidden="false" customHeight="false" outlineLevel="0" collapsed="false">
      <c r="A280" s="24"/>
      <c r="B280" s="24"/>
      <c r="C280" s="9"/>
      <c r="D280" s="25"/>
      <c r="E280" s="9"/>
      <c r="F280" s="24"/>
      <c r="G280" s="9"/>
      <c r="H280" s="9"/>
      <c r="I280" s="26"/>
      <c r="J280" s="26"/>
      <c r="K280" s="26"/>
      <c r="L280" s="24"/>
      <c r="M280" s="24"/>
      <c r="N280" s="14"/>
      <c r="O280" s="14"/>
      <c r="P280" s="27" t="str">
        <f aca="false">IF(OR(N280="",O280=""),"",O280-N280)</f>
        <v/>
      </c>
      <c r="Q280" s="28" t="str">
        <f aca="false">IF(A280="","",COUNTIF($B$5:$B$500,A280))</f>
        <v/>
      </c>
      <c r="R280" s="29" t="str">
        <f aca="false">IF(A280="","",IF(Q280&gt;0,COUNTIFS($B$5:$B$500,A280,$E$5:$E$500,"Done")/Q280,IF(E280="Done",1,0)))</f>
        <v/>
      </c>
      <c r="S280" s="30" t="str">
        <f aca="true">IF(OR(A280="",E280="Done",J280=""),"",IF(J280&lt;TODAY(),"OVERDUE",IF(J280-TODAY()&lt;=7,"Due this week","")))</f>
        <v/>
      </c>
      <c r="T280" s="25"/>
    </row>
    <row r="281" customFormat="false" ht="15" hidden="false" customHeight="false" outlineLevel="0" collapsed="false">
      <c r="A281" s="24"/>
      <c r="B281" s="24"/>
      <c r="C281" s="9"/>
      <c r="D281" s="25"/>
      <c r="E281" s="9"/>
      <c r="F281" s="24"/>
      <c r="G281" s="9"/>
      <c r="H281" s="9"/>
      <c r="I281" s="26"/>
      <c r="J281" s="26"/>
      <c r="K281" s="26"/>
      <c r="L281" s="24"/>
      <c r="M281" s="24"/>
      <c r="N281" s="14"/>
      <c r="O281" s="14"/>
      <c r="P281" s="27" t="str">
        <f aca="false">IF(OR(N281="",O281=""),"",O281-N281)</f>
        <v/>
      </c>
      <c r="Q281" s="28" t="str">
        <f aca="false">IF(A281="","",COUNTIF($B$5:$B$500,A281))</f>
        <v/>
      </c>
      <c r="R281" s="29" t="str">
        <f aca="false">IF(A281="","",IF(Q281&gt;0,COUNTIFS($B$5:$B$500,A281,$E$5:$E$500,"Done")/Q281,IF(E281="Done",1,0)))</f>
        <v/>
      </c>
      <c r="S281" s="30" t="str">
        <f aca="true">IF(OR(A281="",E281="Done",J281=""),"",IF(J281&lt;TODAY(),"OVERDUE",IF(J281-TODAY()&lt;=7,"Due this week","")))</f>
        <v/>
      </c>
      <c r="T281" s="25"/>
    </row>
    <row r="282" customFormat="false" ht="15" hidden="false" customHeight="false" outlineLevel="0" collapsed="false">
      <c r="A282" s="24"/>
      <c r="B282" s="24"/>
      <c r="C282" s="9"/>
      <c r="D282" s="25"/>
      <c r="E282" s="9"/>
      <c r="F282" s="24"/>
      <c r="G282" s="9"/>
      <c r="H282" s="9"/>
      <c r="I282" s="26"/>
      <c r="J282" s="26"/>
      <c r="K282" s="26"/>
      <c r="L282" s="24"/>
      <c r="M282" s="24"/>
      <c r="N282" s="14"/>
      <c r="O282" s="14"/>
      <c r="P282" s="27" t="str">
        <f aca="false">IF(OR(N282="",O282=""),"",O282-N282)</f>
        <v/>
      </c>
      <c r="Q282" s="28" t="str">
        <f aca="false">IF(A282="","",COUNTIF($B$5:$B$500,A282))</f>
        <v/>
      </c>
      <c r="R282" s="29" t="str">
        <f aca="false">IF(A282="","",IF(Q282&gt;0,COUNTIFS($B$5:$B$500,A282,$E$5:$E$500,"Done")/Q282,IF(E282="Done",1,0)))</f>
        <v/>
      </c>
      <c r="S282" s="30" t="str">
        <f aca="true">IF(OR(A282="",E282="Done",J282=""),"",IF(J282&lt;TODAY(),"OVERDUE",IF(J282-TODAY()&lt;=7,"Due this week","")))</f>
        <v/>
      </c>
      <c r="T282" s="25"/>
    </row>
    <row r="283" customFormat="false" ht="15" hidden="false" customHeight="false" outlineLevel="0" collapsed="false">
      <c r="A283" s="24"/>
      <c r="B283" s="24"/>
      <c r="C283" s="9"/>
      <c r="D283" s="25"/>
      <c r="E283" s="9"/>
      <c r="F283" s="24"/>
      <c r="G283" s="9"/>
      <c r="H283" s="9"/>
      <c r="I283" s="26"/>
      <c r="J283" s="26"/>
      <c r="K283" s="26"/>
      <c r="L283" s="24"/>
      <c r="M283" s="24"/>
      <c r="N283" s="14"/>
      <c r="O283" s="14"/>
      <c r="P283" s="27" t="str">
        <f aca="false">IF(OR(N283="",O283=""),"",O283-N283)</f>
        <v/>
      </c>
      <c r="Q283" s="28" t="str">
        <f aca="false">IF(A283="","",COUNTIF($B$5:$B$500,A283))</f>
        <v/>
      </c>
      <c r="R283" s="29" t="str">
        <f aca="false">IF(A283="","",IF(Q283&gt;0,COUNTIFS($B$5:$B$500,A283,$E$5:$E$500,"Done")/Q283,IF(E283="Done",1,0)))</f>
        <v/>
      </c>
      <c r="S283" s="30" t="str">
        <f aca="true">IF(OR(A283="",E283="Done",J283=""),"",IF(J283&lt;TODAY(),"OVERDUE",IF(J283-TODAY()&lt;=7,"Due this week","")))</f>
        <v/>
      </c>
      <c r="T283" s="25"/>
    </row>
    <row r="284" customFormat="false" ht="15" hidden="false" customHeight="false" outlineLevel="0" collapsed="false">
      <c r="A284" s="24"/>
      <c r="B284" s="24"/>
      <c r="C284" s="9"/>
      <c r="D284" s="25"/>
      <c r="E284" s="9"/>
      <c r="F284" s="24"/>
      <c r="G284" s="9"/>
      <c r="H284" s="9"/>
      <c r="I284" s="26"/>
      <c r="J284" s="26"/>
      <c r="K284" s="26"/>
      <c r="L284" s="24"/>
      <c r="M284" s="24"/>
      <c r="N284" s="14"/>
      <c r="O284" s="14"/>
      <c r="P284" s="27" t="str">
        <f aca="false">IF(OR(N284="",O284=""),"",O284-N284)</f>
        <v/>
      </c>
      <c r="Q284" s="28" t="str">
        <f aca="false">IF(A284="","",COUNTIF($B$5:$B$500,A284))</f>
        <v/>
      </c>
      <c r="R284" s="29" t="str">
        <f aca="false">IF(A284="","",IF(Q284&gt;0,COUNTIFS($B$5:$B$500,A284,$E$5:$E$500,"Done")/Q284,IF(E284="Done",1,0)))</f>
        <v/>
      </c>
      <c r="S284" s="30" t="str">
        <f aca="true">IF(OR(A284="",E284="Done",J284=""),"",IF(J284&lt;TODAY(),"OVERDUE",IF(J284-TODAY()&lt;=7,"Due this week","")))</f>
        <v/>
      </c>
      <c r="T284" s="25"/>
    </row>
    <row r="285" customFormat="false" ht="15" hidden="false" customHeight="false" outlineLevel="0" collapsed="false">
      <c r="A285" s="24"/>
      <c r="B285" s="24"/>
      <c r="C285" s="9"/>
      <c r="D285" s="25"/>
      <c r="E285" s="9"/>
      <c r="F285" s="24"/>
      <c r="G285" s="9"/>
      <c r="H285" s="9"/>
      <c r="I285" s="26"/>
      <c r="J285" s="26"/>
      <c r="K285" s="26"/>
      <c r="L285" s="24"/>
      <c r="M285" s="24"/>
      <c r="N285" s="14"/>
      <c r="O285" s="14"/>
      <c r="P285" s="27" t="str">
        <f aca="false">IF(OR(N285="",O285=""),"",O285-N285)</f>
        <v/>
      </c>
      <c r="Q285" s="28" t="str">
        <f aca="false">IF(A285="","",COUNTIF($B$5:$B$500,A285))</f>
        <v/>
      </c>
      <c r="R285" s="29" t="str">
        <f aca="false">IF(A285="","",IF(Q285&gt;0,COUNTIFS($B$5:$B$500,A285,$E$5:$E$500,"Done")/Q285,IF(E285="Done",1,0)))</f>
        <v/>
      </c>
      <c r="S285" s="30" t="str">
        <f aca="true">IF(OR(A285="",E285="Done",J285=""),"",IF(J285&lt;TODAY(),"OVERDUE",IF(J285-TODAY()&lt;=7,"Due this week","")))</f>
        <v/>
      </c>
      <c r="T285" s="25"/>
    </row>
    <row r="286" customFormat="false" ht="15" hidden="false" customHeight="false" outlineLevel="0" collapsed="false">
      <c r="A286" s="24"/>
      <c r="B286" s="24"/>
      <c r="C286" s="9"/>
      <c r="D286" s="25"/>
      <c r="E286" s="9"/>
      <c r="F286" s="24"/>
      <c r="G286" s="9"/>
      <c r="H286" s="9"/>
      <c r="I286" s="26"/>
      <c r="J286" s="26"/>
      <c r="K286" s="26"/>
      <c r="L286" s="24"/>
      <c r="M286" s="24"/>
      <c r="N286" s="14"/>
      <c r="O286" s="14"/>
      <c r="P286" s="27" t="str">
        <f aca="false">IF(OR(N286="",O286=""),"",O286-N286)</f>
        <v/>
      </c>
      <c r="Q286" s="28" t="str">
        <f aca="false">IF(A286="","",COUNTIF($B$5:$B$500,A286))</f>
        <v/>
      </c>
      <c r="R286" s="29" t="str">
        <f aca="false">IF(A286="","",IF(Q286&gt;0,COUNTIFS($B$5:$B$500,A286,$E$5:$E$500,"Done")/Q286,IF(E286="Done",1,0)))</f>
        <v/>
      </c>
      <c r="S286" s="30" t="str">
        <f aca="true">IF(OR(A286="",E286="Done",J286=""),"",IF(J286&lt;TODAY(),"OVERDUE",IF(J286-TODAY()&lt;=7,"Due this week","")))</f>
        <v/>
      </c>
      <c r="T286" s="25"/>
    </row>
    <row r="287" customFormat="false" ht="15" hidden="false" customHeight="false" outlineLevel="0" collapsed="false">
      <c r="A287" s="24"/>
      <c r="B287" s="24"/>
      <c r="C287" s="9"/>
      <c r="D287" s="25"/>
      <c r="E287" s="9"/>
      <c r="F287" s="24"/>
      <c r="G287" s="9"/>
      <c r="H287" s="9"/>
      <c r="I287" s="26"/>
      <c r="J287" s="26"/>
      <c r="K287" s="26"/>
      <c r="L287" s="24"/>
      <c r="M287" s="24"/>
      <c r="N287" s="14"/>
      <c r="O287" s="14"/>
      <c r="P287" s="27" t="str">
        <f aca="false">IF(OR(N287="",O287=""),"",O287-N287)</f>
        <v/>
      </c>
      <c r="Q287" s="28" t="str">
        <f aca="false">IF(A287="","",COUNTIF($B$5:$B$500,A287))</f>
        <v/>
      </c>
      <c r="R287" s="29" t="str">
        <f aca="false">IF(A287="","",IF(Q287&gt;0,COUNTIFS($B$5:$B$500,A287,$E$5:$E$500,"Done")/Q287,IF(E287="Done",1,0)))</f>
        <v/>
      </c>
      <c r="S287" s="30" t="str">
        <f aca="true">IF(OR(A287="",E287="Done",J287=""),"",IF(J287&lt;TODAY(),"OVERDUE",IF(J287-TODAY()&lt;=7,"Due this week","")))</f>
        <v/>
      </c>
      <c r="T287" s="25"/>
    </row>
    <row r="288" customFormat="false" ht="15" hidden="false" customHeight="false" outlineLevel="0" collapsed="false">
      <c r="A288" s="24"/>
      <c r="B288" s="24"/>
      <c r="C288" s="9"/>
      <c r="D288" s="25"/>
      <c r="E288" s="9"/>
      <c r="F288" s="24"/>
      <c r="G288" s="9"/>
      <c r="H288" s="9"/>
      <c r="I288" s="26"/>
      <c r="J288" s="26"/>
      <c r="K288" s="26"/>
      <c r="L288" s="24"/>
      <c r="M288" s="24"/>
      <c r="N288" s="14"/>
      <c r="O288" s="14"/>
      <c r="P288" s="27" t="str">
        <f aca="false">IF(OR(N288="",O288=""),"",O288-N288)</f>
        <v/>
      </c>
      <c r="Q288" s="28" t="str">
        <f aca="false">IF(A288="","",COUNTIF($B$5:$B$500,A288))</f>
        <v/>
      </c>
      <c r="R288" s="29" t="str">
        <f aca="false">IF(A288="","",IF(Q288&gt;0,COUNTIFS($B$5:$B$500,A288,$E$5:$E$500,"Done")/Q288,IF(E288="Done",1,0)))</f>
        <v/>
      </c>
      <c r="S288" s="30" t="str">
        <f aca="true">IF(OR(A288="",E288="Done",J288=""),"",IF(J288&lt;TODAY(),"OVERDUE",IF(J288-TODAY()&lt;=7,"Due this week","")))</f>
        <v/>
      </c>
      <c r="T288" s="25"/>
    </row>
    <row r="289" customFormat="false" ht="15" hidden="false" customHeight="false" outlineLevel="0" collapsed="false">
      <c r="A289" s="24"/>
      <c r="B289" s="24"/>
      <c r="C289" s="9"/>
      <c r="D289" s="25"/>
      <c r="E289" s="9"/>
      <c r="F289" s="24"/>
      <c r="G289" s="9"/>
      <c r="H289" s="9"/>
      <c r="I289" s="26"/>
      <c r="J289" s="26"/>
      <c r="K289" s="26"/>
      <c r="L289" s="24"/>
      <c r="M289" s="24"/>
      <c r="N289" s="14"/>
      <c r="O289" s="14"/>
      <c r="P289" s="27" t="str">
        <f aca="false">IF(OR(N289="",O289=""),"",O289-N289)</f>
        <v/>
      </c>
      <c r="Q289" s="28" t="str">
        <f aca="false">IF(A289="","",COUNTIF($B$5:$B$500,A289))</f>
        <v/>
      </c>
      <c r="R289" s="29" t="str">
        <f aca="false">IF(A289="","",IF(Q289&gt;0,COUNTIFS($B$5:$B$500,A289,$E$5:$E$500,"Done")/Q289,IF(E289="Done",1,0)))</f>
        <v/>
      </c>
      <c r="S289" s="30" t="str">
        <f aca="true">IF(OR(A289="",E289="Done",J289=""),"",IF(J289&lt;TODAY(),"OVERDUE",IF(J289-TODAY()&lt;=7,"Due this week","")))</f>
        <v/>
      </c>
      <c r="T289" s="25"/>
    </row>
    <row r="290" customFormat="false" ht="15" hidden="false" customHeight="false" outlineLevel="0" collapsed="false">
      <c r="A290" s="24"/>
      <c r="B290" s="24"/>
      <c r="C290" s="9"/>
      <c r="D290" s="25"/>
      <c r="E290" s="9"/>
      <c r="F290" s="24"/>
      <c r="G290" s="9"/>
      <c r="H290" s="9"/>
      <c r="I290" s="26"/>
      <c r="J290" s="26"/>
      <c r="K290" s="26"/>
      <c r="L290" s="24"/>
      <c r="M290" s="24"/>
      <c r="N290" s="14"/>
      <c r="O290" s="14"/>
      <c r="P290" s="27" t="str">
        <f aca="false">IF(OR(N290="",O290=""),"",O290-N290)</f>
        <v/>
      </c>
      <c r="Q290" s="28" t="str">
        <f aca="false">IF(A290="","",COUNTIF($B$5:$B$500,A290))</f>
        <v/>
      </c>
      <c r="R290" s="29" t="str">
        <f aca="false">IF(A290="","",IF(Q290&gt;0,COUNTIFS($B$5:$B$500,A290,$E$5:$E$500,"Done")/Q290,IF(E290="Done",1,0)))</f>
        <v/>
      </c>
      <c r="S290" s="30" t="str">
        <f aca="true">IF(OR(A290="",E290="Done",J290=""),"",IF(J290&lt;TODAY(),"OVERDUE",IF(J290-TODAY()&lt;=7,"Due this week","")))</f>
        <v/>
      </c>
      <c r="T290" s="25"/>
    </row>
    <row r="291" customFormat="false" ht="15" hidden="false" customHeight="false" outlineLevel="0" collapsed="false">
      <c r="A291" s="24"/>
      <c r="B291" s="24"/>
      <c r="C291" s="9"/>
      <c r="D291" s="25"/>
      <c r="E291" s="9"/>
      <c r="F291" s="24"/>
      <c r="G291" s="9"/>
      <c r="H291" s="9"/>
      <c r="I291" s="26"/>
      <c r="J291" s="26"/>
      <c r="K291" s="26"/>
      <c r="L291" s="24"/>
      <c r="M291" s="24"/>
      <c r="N291" s="14"/>
      <c r="O291" s="14"/>
      <c r="P291" s="27" t="str">
        <f aca="false">IF(OR(N291="",O291=""),"",O291-N291)</f>
        <v/>
      </c>
      <c r="Q291" s="28" t="str">
        <f aca="false">IF(A291="","",COUNTIF($B$5:$B$500,A291))</f>
        <v/>
      </c>
      <c r="R291" s="29" t="str">
        <f aca="false">IF(A291="","",IF(Q291&gt;0,COUNTIFS($B$5:$B$500,A291,$E$5:$E$500,"Done")/Q291,IF(E291="Done",1,0)))</f>
        <v/>
      </c>
      <c r="S291" s="30" t="str">
        <f aca="true">IF(OR(A291="",E291="Done",J291=""),"",IF(J291&lt;TODAY(),"OVERDUE",IF(J291-TODAY()&lt;=7,"Due this week","")))</f>
        <v/>
      </c>
      <c r="T291" s="25"/>
    </row>
    <row r="292" customFormat="false" ht="15" hidden="false" customHeight="false" outlineLevel="0" collapsed="false">
      <c r="A292" s="24"/>
      <c r="B292" s="24"/>
      <c r="C292" s="9"/>
      <c r="D292" s="25"/>
      <c r="E292" s="9"/>
      <c r="F292" s="24"/>
      <c r="G292" s="9"/>
      <c r="H292" s="9"/>
      <c r="I292" s="26"/>
      <c r="J292" s="26"/>
      <c r="K292" s="26"/>
      <c r="L292" s="24"/>
      <c r="M292" s="24"/>
      <c r="N292" s="14"/>
      <c r="O292" s="14"/>
      <c r="P292" s="27" t="str">
        <f aca="false">IF(OR(N292="",O292=""),"",O292-N292)</f>
        <v/>
      </c>
      <c r="Q292" s="28" t="str">
        <f aca="false">IF(A292="","",COUNTIF($B$5:$B$500,A292))</f>
        <v/>
      </c>
      <c r="R292" s="29" t="str">
        <f aca="false">IF(A292="","",IF(Q292&gt;0,COUNTIFS($B$5:$B$500,A292,$E$5:$E$500,"Done")/Q292,IF(E292="Done",1,0)))</f>
        <v/>
      </c>
      <c r="S292" s="30" t="str">
        <f aca="true">IF(OR(A292="",E292="Done",J292=""),"",IF(J292&lt;TODAY(),"OVERDUE",IF(J292-TODAY()&lt;=7,"Due this week","")))</f>
        <v/>
      </c>
      <c r="T292" s="25"/>
    </row>
    <row r="293" customFormat="false" ht="15" hidden="false" customHeight="false" outlineLevel="0" collapsed="false">
      <c r="A293" s="24"/>
      <c r="B293" s="24"/>
      <c r="C293" s="9"/>
      <c r="D293" s="25"/>
      <c r="E293" s="9"/>
      <c r="F293" s="24"/>
      <c r="G293" s="9"/>
      <c r="H293" s="9"/>
      <c r="I293" s="26"/>
      <c r="J293" s="26"/>
      <c r="K293" s="26"/>
      <c r="L293" s="24"/>
      <c r="M293" s="24"/>
      <c r="N293" s="14"/>
      <c r="O293" s="14"/>
      <c r="P293" s="27" t="str">
        <f aca="false">IF(OR(N293="",O293=""),"",O293-N293)</f>
        <v/>
      </c>
      <c r="Q293" s="28" t="str">
        <f aca="false">IF(A293="","",COUNTIF($B$5:$B$500,A293))</f>
        <v/>
      </c>
      <c r="R293" s="29" t="str">
        <f aca="false">IF(A293="","",IF(Q293&gt;0,COUNTIFS($B$5:$B$500,A293,$E$5:$E$500,"Done")/Q293,IF(E293="Done",1,0)))</f>
        <v/>
      </c>
      <c r="S293" s="30" t="str">
        <f aca="true">IF(OR(A293="",E293="Done",J293=""),"",IF(J293&lt;TODAY(),"OVERDUE",IF(J293-TODAY()&lt;=7,"Due this week","")))</f>
        <v/>
      </c>
      <c r="T293" s="25"/>
    </row>
    <row r="294" customFormat="false" ht="15" hidden="false" customHeight="false" outlineLevel="0" collapsed="false">
      <c r="A294" s="24"/>
      <c r="B294" s="24"/>
      <c r="C294" s="9"/>
      <c r="D294" s="25"/>
      <c r="E294" s="9"/>
      <c r="F294" s="24"/>
      <c r="G294" s="9"/>
      <c r="H294" s="9"/>
      <c r="I294" s="26"/>
      <c r="J294" s="26"/>
      <c r="K294" s="26"/>
      <c r="L294" s="24"/>
      <c r="M294" s="24"/>
      <c r="N294" s="14"/>
      <c r="O294" s="14"/>
      <c r="P294" s="27" t="str">
        <f aca="false">IF(OR(N294="",O294=""),"",O294-N294)</f>
        <v/>
      </c>
      <c r="Q294" s="28" t="str">
        <f aca="false">IF(A294="","",COUNTIF($B$5:$B$500,A294))</f>
        <v/>
      </c>
      <c r="R294" s="29" t="str">
        <f aca="false">IF(A294="","",IF(Q294&gt;0,COUNTIFS($B$5:$B$500,A294,$E$5:$E$500,"Done")/Q294,IF(E294="Done",1,0)))</f>
        <v/>
      </c>
      <c r="S294" s="30" t="str">
        <f aca="true">IF(OR(A294="",E294="Done",J294=""),"",IF(J294&lt;TODAY(),"OVERDUE",IF(J294-TODAY()&lt;=7,"Due this week","")))</f>
        <v/>
      </c>
      <c r="T294" s="25"/>
    </row>
    <row r="295" customFormat="false" ht="15" hidden="false" customHeight="false" outlineLevel="0" collapsed="false">
      <c r="A295" s="24"/>
      <c r="B295" s="24"/>
      <c r="C295" s="9"/>
      <c r="D295" s="25"/>
      <c r="E295" s="9"/>
      <c r="F295" s="24"/>
      <c r="G295" s="9"/>
      <c r="H295" s="9"/>
      <c r="I295" s="26"/>
      <c r="J295" s="26"/>
      <c r="K295" s="26"/>
      <c r="L295" s="24"/>
      <c r="M295" s="24"/>
      <c r="N295" s="14"/>
      <c r="O295" s="14"/>
      <c r="P295" s="27" t="str">
        <f aca="false">IF(OR(N295="",O295=""),"",O295-N295)</f>
        <v/>
      </c>
      <c r="Q295" s="28" t="str">
        <f aca="false">IF(A295="","",COUNTIF($B$5:$B$500,A295))</f>
        <v/>
      </c>
      <c r="R295" s="29" t="str">
        <f aca="false">IF(A295="","",IF(Q295&gt;0,COUNTIFS($B$5:$B$500,A295,$E$5:$E$500,"Done")/Q295,IF(E295="Done",1,0)))</f>
        <v/>
      </c>
      <c r="S295" s="30" t="str">
        <f aca="true">IF(OR(A295="",E295="Done",J295=""),"",IF(J295&lt;TODAY(),"OVERDUE",IF(J295-TODAY()&lt;=7,"Due this week","")))</f>
        <v/>
      </c>
      <c r="T295" s="25"/>
    </row>
    <row r="296" customFormat="false" ht="15" hidden="false" customHeight="false" outlineLevel="0" collapsed="false">
      <c r="A296" s="24"/>
      <c r="B296" s="24"/>
      <c r="C296" s="9"/>
      <c r="D296" s="25"/>
      <c r="E296" s="9"/>
      <c r="F296" s="24"/>
      <c r="G296" s="9"/>
      <c r="H296" s="9"/>
      <c r="I296" s="26"/>
      <c r="J296" s="26"/>
      <c r="K296" s="26"/>
      <c r="L296" s="24"/>
      <c r="M296" s="24"/>
      <c r="N296" s="14"/>
      <c r="O296" s="14"/>
      <c r="P296" s="27" t="str">
        <f aca="false">IF(OR(N296="",O296=""),"",O296-N296)</f>
        <v/>
      </c>
      <c r="Q296" s="28" t="str">
        <f aca="false">IF(A296="","",COUNTIF($B$5:$B$500,A296))</f>
        <v/>
      </c>
      <c r="R296" s="29" t="str">
        <f aca="false">IF(A296="","",IF(Q296&gt;0,COUNTIFS($B$5:$B$500,A296,$E$5:$E$500,"Done")/Q296,IF(E296="Done",1,0)))</f>
        <v/>
      </c>
      <c r="S296" s="30" t="str">
        <f aca="true">IF(OR(A296="",E296="Done",J296=""),"",IF(J296&lt;TODAY(),"OVERDUE",IF(J296-TODAY()&lt;=7,"Due this week","")))</f>
        <v/>
      </c>
      <c r="T296" s="25"/>
    </row>
    <row r="297" customFormat="false" ht="15" hidden="false" customHeight="false" outlineLevel="0" collapsed="false">
      <c r="A297" s="24"/>
      <c r="B297" s="24"/>
      <c r="C297" s="9"/>
      <c r="D297" s="25"/>
      <c r="E297" s="9"/>
      <c r="F297" s="24"/>
      <c r="G297" s="9"/>
      <c r="H297" s="9"/>
      <c r="I297" s="26"/>
      <c r="J297" s="26"/>
      <c r="K297" s="26"/>
      <c r="L297" s="24"/>
      <c r="M297" s="24"/>
      <c r="N297" s="14"/>
      <c r="O297" s="14"/>
      <c r="P297" s="27" t="str">
        <f aca="false">IF(OR(N297="",O297=""),"",O297-N297)</f>
        <v/>
      </c>
      <c r="Q297" s="28" t="str">
        <f aca="false">IF(A297="","",COUNTIF($B$5:$B$500,A297))</f>
        <v/>
      </c>
      <c r="R297" s="29" t="str">
        <f aca="false">IF(A297="","",IF(Q297&gt;0,COUNTIFS($B$5:$B$500,A297,$E$5:$E$500,"Done")/Q297,IF(E297="Done",1,0)))</f>
        <v/>
      </c>
      <c r="S297" s="30" t="str">
        <f aca="true">IF(OR(A297="",E297="Done",J297=""),"",IF(J297&lt;TODAY(),"OVERDUE",IF(J297-TODAY()&lt;=7,"Due this week","")))</f>
        <v/>
      </c>
      <c r="T297" s="25"/>
    </row>
    <row r="298" customFormat="false" ht="15" hidden="false" customHeight="false" outlineLevel="0" collapsed="false">
      <c r="A298" s="24"/>
      <c r="B298" s="24"/>
      <c r="C298" s="9"/>
      <c r="D298" s="25"/>
      <c r="E298" s="9"/>
      <c r="F298" s="24"/>
      <c r="G298" s="9"/>
      <c r="H298" s="9"/>
      <c r="I298" s="26"/>
      <c r="J298" s="26"/>
      <c r="K298" s="26"/>
      <c r="L298" s="24"/>
      <c r="M298" s="24"/>
      <c r="N298" s="14"/>
      <c r="O298" s="14"/>
      <c r="P298" s="27" t="str">
        <f aca="false">IF(OR(N298="",O298=""),"",O298-N298)</f>
        <v/>
      </c>
      <c r="Q298" s="28" t="str">
        <f aca="false">IF(A298="","",COUNTIF($B$5:$B$500,A298))</f>
        <v/>
      </c>
      <c r="R298" s="29" t="str">
        <f aca="false">IF(A298="","",IF(Q298&gt;0,COUNTIFS($B$5:$B$500,A298,$E$5:$E$500,"Done")/Q298,IF(E298="Done",1,0)))</f>
        <v/>
      </c>
      <c r="S298" s="30" t="str">
        <f aca="true">IF(OR(A298="",E298="Done",J298=""),"",IF(J298&lt;TODAY(),"OVERDUE",IF(J298-TODAY()&lt;=7,"Due this week","")))</f>
        <v/>
      </c>
      <c r="T298" s="25"/>
    </row>
    <row r="299" customFormat="false" ht="15" hidden="false" customHeight="false" outlineLevel="0" collapsed="false">
      <c r="A299" s="24"/>
      <c r="B299" s="24"/>
      <c r="C299" s="9"/>
      <c r="D299" s="25"/>
      <c r="E299" s="9"/>
      <c r="F299" s="24"/>
      <c r="G299" s="9"/>
      <c r="H299" s="9"/>
      <c r="I299" s="26"/>
      <c r="J299" s="26"/>
      <c r="K299" s="26"/>
      <c r="L299" s="24"/>
      <c r="M299" s="24"/>
      <c r="N299" s="14"/>
      <c r="O299" s="14"/>
      <c r="P299" s="27" t="str">
        <f aca="false">IF(OR(N299="",O299=""),"",O299-N299)</f>
        <v/>
      </c>
      <c r="Q299" s="28" t="str">
        <f aca="false">IF(A299="","",COUNTIF($B$5:$B$500,A299))</f>
        <v/>
      </c>
      <c r="R299" s="29" t="str">
        <f aca="false">IF(A299="","",IF(Q299&gt;0,COUNTIFS($B$5:$B$500,A299,$E$5:$E$500,"Done")/Q299,IF(E299="Done",1,0)))</f>
        <v/>
      </c>
      <c r="S299" s="30" t="str">
        <f aca="true">IF(OR(A299="",E299="Done",J299=""),"",IF(J299&lt;TODAY(),"OVERDUE",IF(J299-TODAY()&lt;=7,"Due this week","")))</f>
        <v/>
      </c>
      <c r="T299" s="25"/>
    </row>
    <row r="300" customFormat="false" ht="15" hidden="false" customHeight="false" outlineLevel="0" collapsed="false">
      <c r="A300" s="24"/>
      <c r="B300" s="24"/>
      <c r="C300" s="9"/>
      <c r="D300" s="25"/>
      <c r="E300" s="9"/>
      <c r="F300" s="24"/>
      <c r="G300" s="9"/>
      <c r="H300" s="9"/>
      <c r="I300" s="26"/>
      <c r="J300" s="26"/>
      <c r="K300" s="26"/>
      <c r="L300" s="24"/>
      <c r="M300" s="24"/>
      <c r="N300" s="14"/>
      <c r="O300" s="14"/>
      <c r="P300" s="27" t="str">
        <f aca="false">IF(OR(N300="",O300=""),"",O300-N300)</f>
        <v/>
      </c>
      <c r="Q300" s="28" t="str">
        <f aca="false">IF(A300="","",COUNTIF($B$5:$B$500,A300))</f>
        <v/>
      </c>
      <c r="R300" s="29" t="str">
        <f aca="false">IF(A300="","",IF(Q300&gt;0,COUNTIFS($B$5:$B$500,A300,$E$5:$E$500,"Done")/Q300,IF(E300="Done",1,0)))</f>
        <v/>
      </c>
      <c r="S300" s="30" t="str">
        <f aca="true">IF(OR(A300="",E300="Done",J300=""),"",IF(J300&lt;TODAY(),"OVERDUE",IF(J300-TODAY()&lt;=7,"Due this week","")))</f>
        <v/>
      </c>
      <c r="T300" s="25"/>
    </row>
    <row r="301" customFormat="false" ht="15" hidden="false" customHeight="false" outlineLevel="0" collapsed="false">
      <c r="A301" s="24"/>
      <c r="B301" s="24"/>
      <c r="C301" s="9"/>
      <c r="D301" s="25"/>
      <c r="E301" s="9"/>
      <c r="F301" s="24"/>
      <c r="G301" s="9"/>
      <c r="H301" s="9"/>
      <c r="I301" s="26"/>
      <c r="J301" s="26"/>
      <c r="K301" s="26"/>
      <c r="L301" s="24"/>
      <c r="M301" s="24"/>
      <c r="N301" s="14"/>
      <c r="O301" s="14"/>
      <c r="P301" s="27" t="str">
        <f aca="false">IF(OR(N301="",O301=""),"",O301-N301)</f>
        <v/>
      </c>
      <c r="Q301" s="28" t="str">
        <f aca="false">IF(A301="","",COUNTIF($B$5:$B$500,A301))</f>
        <v/>
      </c>
      <c r="R301" s="29" t="str">
        <f aca="false">IF(A301="","",IF(Q301&gt;0,COUNTIFS($B$5:$B$500,A301,$E$5:$E$500,"Done")/Q301,IF(E301="Done",1,0)))</f>
        <v/>
      </c>
      <c r="S301" s="30" t="str">
        <f aca="true">IF(OR(A301="",E301="Done",J301=""),"",IF(J301&lt;TODAY(),"OVERDUE",IF(J301-TODAY()&lt;=7,"Due this week","")))</f>
        <v/>
      </c>
      <c r="T301" s="25"/>
    </row>
    <row r="302" customFormat="false" ht="15" hidden="false" customHeight="false" outlineLevel="0" collapsed="false">
      <c r="A302" s="24"/>
      <c r="B302" s="24"/>
      <c r="C302" s="9"/>
      <c r="D302" s="25"/>
      <c r="E302" s="9"/>
      <c r="F302" s="24"/>
      <c r="G302" s="9"/>
      <c r="H302" s="9"/>
      <c r="I302" s="26"/>
      <c r="J302" s="26"/>
      <c r="K302" s="26"/>
      <c r="L302" s="24"/>
      <c r="M302" s="24"/>
      <c r="N302" s="14"/>
      <c r="O302" s="14"/>
      <c r="P302" s="27" t="str">
        <f aca="false">IF(OR(N302="",O302=""),"",O302-N302)</f>
        <v/>
      </c>
      <c r="Q302" s="28" t="str">
        <f aca="false">IF(A302="","",COUNTIF($B$5:$B$500,A302))</f>
        <v/>
      </c>
      <c r="R302" s="29" t="str">
        <f aca="false">IF(A302="","",IF(Q302&gt;0,COUNTIFS($B$5:$B$500,A302,$E$5:$E$500,"Done")/Q302,IF(E302="Done",1,0)))</f>
        <v/>
      </c>
      <c r="S302" s="30" t="str">
        <f aca="true">IF(OR(A302="",E302="Done",J302=""),"",IF(J302&lt;TODAY(),"OVERDUE",IF(J302-TODAY()&lt;=7,"Due this week","")))</f>
        <v/>
      </c>
      <c r="T302" s="25"/>
    </row>
    <row r="303" customFormat="false" ht="15" hidden="false" customHeight="false" outlineLevel="0" collapsed="false">
      <c r="A303" s="24"/>
      <c r="B303" s="24"/>
      <c r="C303" s="9"/>
      <c r="D303" s="25"/>
      <c r="E303" s="9"/>
      <c r="F303" s="24"/>
      <c r="G303" s="9"/>
      <c r="H303" s="9"/>
      <c r="I303" s="26"/>
      <c r="J303" s="26"/>
      <c r="K303" s="26"/>
      <c r="L303" s="24"/>
      <c r="M303" s="24"/>
      <c r="N303" s="14"/>
      <c r="O303" s="14"/>
      <c r="P303" s="27" t="str">
        <f aca="false">IF(OR(N303="",O303=""),"",O303-N303)</f>
        <v/>
      </c>
      <c r="Q303" s="28" t="str">
        <f aca="false">IF(A303="","",COUNTIF($B$5:$B$500,A303))</f>
        <v/>
      </c>
      <c r="R303" s="29" t="str">
        <f aca="false">IF(A303="","",IF(Q303&gt;0,COUNTIFS($B$5:$B$500,A303,$E$5:$E$500,"Done")/Q303,IF(E303="Done",1,0)))</f>
        <v/>
      </c>
      <c r="S303" s="30" t="str">
        <f aca="true">IF(OR(A303="",E303="Done",J303=""),"",IF(J303&lt;TODAY(),"OVERDUE",IF(J303-TODAY()&lt;=7,"Due this week","")))</f>
        <v/>
      </c>
      <c r="T303" s="25"/>
    </row>
    <row r="304" customFormat="false" ht="15" hidden="false" customHeight="false" outlineLevel="0" collapsed="false">
      <c r="A304" s="24"/>
      <c r="B304" s="24"/>
      <c r="C304" s="9"/>
      <c r="D304" s="25"/>
      <c r="E304" s="9"/>
      <c r="F304" s="24"/>
      <c r="G304" s="9"/>
      <c r="H304" s="9"/>
      <c r="I304" s="26"/>
      <c r="J304" s="26"/>
      <c r="K304" s="26"/>
      <c r="L304" s="24"/>
      <c r="M304" s="24"/>
      <c r="N304" s="14"/>
      <c r="O304" s="14"/>
      <c r="P304" s="27" t="str">
        <f aca="false">IF(OR(N304="",O304=""),"",O304-N304)</f>
        <v/>
      </c>
      <c r="Q304" s="28" t="str">
        <f aca="false">IF(A304="","",COUNTIF($B$5:$B$500,A304))</f>
        <v/>
      </c>
      <c r="R304" s="29" t="str">
        <f aca="false">IF(A304="","",IF(Q304&gt;0,COUNTIFS($B$5:$B$500,A304,$E$5:$E$500,"Done")/Q304,IF(E304="Done",1,0)))</f>
        <v/>
      </c>
      <c r="S304" s="30" t="str">
        <f aca="true">IF(OR(A304="",E304="Done",J304=""),"",IF(J304&lt;TODAY(),"OVERDUE",IF(J304-TODAY()&lt;=7,"Due this week","")))</f>
        <v/>
      </c>
      <c r="T304" s="25"/>
    </row>
    <row r="305" customFormat="false" ht="15" hidden="false" customHeight="false" outlineLevel="0" collapsed="false">
      <c r="A305" s="24"/>
      <c r="B305" s="24"/>
      <c r="C305" s="9"/>
      <c r="D305" s="25"/>
      <c r="E305" s="9"/>
      <c r="F305" s="24"/>
      <c r="G305" s="9"/>
      <c r="H305" s="9"/>
      <c r="I305" s="26"/>
      <c r="J305" s="26"/>
      <c r="K305" s="26"/>
      <c r="L305" s="24"/>
      <c r="M305" s="24"/>
      <c r="N305" s="14"/>
      <c r="O305" s="14"/>
      <c r="P305" s="27" t="str">
        <f aca="false">IF(OR(N305="",O305=""),"",O305-N305)</f>
        <v/>
      </c>
      <c r="Q305" s="28" t="str">
        <f aca="false">IF(A305="","",COUNTIF($B$5:$B$500,A305))</f>
        <v/>
      </c>
      <c r="R305" s="29" t="str">
        <f aca="false">IF(A305="","",IF(Q305&gt;0,COUNTIFS($B$5:$B$500,A305,$E$5:$E$500,"Done")/Q305,IF(E305="Done",1,0)))</f>
        <v/>
      </c>
      <c r="S305" s="30" t="str">
        <f aca="true">IF(OR(A305="",E305="Done",J305=""),"",IF(J305&lt;TODAY(),"OVERDUE",IF(J305-TODAY()&lt;=7,"Due this week","")))</f>
        <v/>
      </c>
      <c r="T305" s="25"/>
    </row>
    <row r="306" customFormat="false" ht="15" hidden="false" customHeight="false" outlineLevel="0" collapsed="false">
      <c r="A306" s="24"/>
      <c r="B306" s="24"/>
      <c r="C306" s="9"/>
      <c r="D306" s="25"/>
      <c r="E306" s="9"/>
      <c r="F306" s="24"/>
      <c r="G306" s="9"/>
      <c r="H306" s="9"/>
      <c r="I306" s="26"/>
      <c r="J306" s="26"/>
      <c r="K306" s="26"/>
      <c r="L306" s="24"/>
      <c r="M306" s="24"/>
      <c r="N306" s="14"/>
      <c r="O306" s="14"/>
      <c r="P306" s="27" t="str">
        <f aca="false">IF(OR(N306="",O306=""),"",O306-N306)</f>
        <v/>
      </c>
      <c r="Q306" s="28" t="str">
        <f aca="false">IF(A306="","",COUNTIF($B$5:$B$500,A306))</f>
        <v/>
      </c>
      <c r="R306" s="29" t="str">
        <f aca="false">IF(A306="","",IF(Q306&gt;0,COUNTIFS($B$5:$B$500,A306,$E$5:$E$500,"Done")/Q306,IF(E306="Done",1,0)))</f>
        <v/>
      </c>
      <c r="S306" s="30" t="str">
        <f aca="true">IF(OR(A306="",E306="Done",J306=""),"",IF(J306&lt;TODAY(),"OVERDUE",IF(J306-TODAY()&lt;=7,"Due this week","")))</f>
        <v/>
      </c>
      <c r="T306" s="25"/>
    </row>
    <row r="307" customFormat="false" ht="15" hidden="false" customHeight="false" outlineLevel="0" collapsed="false">
      <c r="A307" s="24"/>
      <c r="B307" s="24"/>
      <c r="C307" s="9"/>
      <c r="D307" s="25"/>
      <c r="E307" s="9"/>
      <c r="F307" s="24"/>
      <c r="G307" s="9"/>
      <c r="H307" s="9"/>
      <c r="I307" s="26"/>
      <c r="J307" s="26"/>
      <c r="K307" s="26"/>
      <c r="L307" s="24"/>
      <c r="M307" s="24"/>
      <c r="N307" s="14"/>
      <c r="O307" s="14"/>
      <c r="P307" s="27" t="str">
        <f aca="false">IF(OR(N307="",O307=""),"",O307-N307)</f>
        <v/>
      </c>
      <c r="Q307" s="28" t="str">
        <f aca="false">IF(A307="","",COUNTIF($B$5:$B$500,A307))</f>
        <v/>
      </c>
      <c r="R307" s="29" t="str">
        <f aca="false">IF(A307="","",IF(Q307&gt;0,COUNTIFS($B$5:$B$500,A307,$E$5:$E$500,"Done")/Q307,IF(E307="Done",1,0)))</f>
        <v/>
      </c>
      <c r="S307" s="30" t="str">
        <f aca="true">IF(OR(A307="",E307="Done",J307=""),"",IF(J307&lt;TODAY(),"OVERDUE",IF(J307-TODAY()&lt;=7,"Due this week","")))</f>
        <v/>
      </c>
      <c r="T307" s="25"/>
    </row>
    <row r="308" customFormat="false" ht="15" hidden="false" customHeight="false" outlineLevel="0" collapsed="false">
      <c r="A308" s="24"/>
      <c r="B308" s="24"/>
      <c r="C308" s="9"/>
      <c r="D308" s="25"/>
      <c r="E308" s="9"/>
      <c r="F308" s="24"/>
      <c r="G308" s="9"/>
      <c r="H308" s="9"/>
      <c r="I308" s="26"/>
      <c r="J308" s="26"/>
      <c r="K308" s="26"/>
      <c r="L308" s="24"/>
      <c r="M308" s="24"/>
      <c r="N308" s="14"/>
      <c r="O308" s="14"/>
      <c r="P308" s="27" t="str">
        <f aca="false">IF(OR(N308="",O308=""),"",O308-N308)</f>
        <v/>
      </c>
      <c r="Q308" s="28" t="str">
        <f aca="false">IF(A308="","",COUNTIF($B$5:$B$500,A308))</f>
        <v/>
      </c>
      <c r="R308" s="29" t="str">
        <f aca="false">IF(A308="","",IF(Q308&gt;0,COUNTIFS($B$5:$B$500,A308,$E$5:$E$500,"Done")/Q308,IF(E308="Done",1,0)))</f>
        <v/>
      </c>
      <c r="S308" s="30" t="str">
        <f aca="true">IF(OR(A308="",E308="Done",J308=""),"",IF(J308&lt;TODAY(),"OVERDUE",IF(J308-TODAY()&lt;=7,"Due this week","")))</f>
        <v/>
      </c>
      <c r="T308" s="25"/>
    </row>
    <row r="309" customFormat="false" ht="15" hidden="false" customHeight="false" outlineLevel="0" collapsed="false">
      <c r="A309" s="24"/>
      <c r="B309" s="24"/>
      <c r="C309" s="9"/>
      <c r="D309" s="25"/>
      <c r="E309" s="9"/>
      <c r="F309" s="24"/>
      <c r="G309" s="9"/>
      <c r="H309" s="9"/>
      <c r="I309" s="26"/>
      <c r="J309" s="26"/>
      <c r="K309" s="26"/>
      <c r="L309" s="24"/>
      <c r="M309" s="24"/>
      <c r="N309" s="14"/>
      <c r="O309" s="14"/>
      <c r="P309" s="27" t="str">
        <f aca="false">IF(OR(N309="",O309=""),"",O309-N309)</f>
        <v/>
      </c>
      <c r="Q309" s="28" t="str">
        <f aca="false">IF(A309="","",COUNTIF($B$5:$B$500,A309))</f>
        <v/>
      </c>
      <c r="R309" s="29" t="str">
        <f aca="false">IF(A309="","",IF(Q309&gt;0,COUNTIFS($B$5:$B$500,A309,$E$5:$E$500,"Done")/Q309,IF(E309="Done",1,0)))</f>
        <v/>
      </c>
      <c r="S309" s="30" t="str">
        <f aca="true">IF(OR(A309="",E309="Done",J309=""),"",IF(J309&lt;TODAY(),"OVERDUE",IF(J309-TODAY()&lt;=7,"Due this week","")))</f>
        <v/>
      </c>
      <c r="T309" s="25"/>
    </row>
    <row r="310" customFormat="false" ht="15" hidden="false" customHeight="false" outlineLevel="0" collapsed="false">
      <c r="A310" s="24"/>
      <c r="B310" s="24"/>
      <c r="C310" s="9"/>
      <c r="D310" s="25"/>
      <c r="E310" s="9"/>
      <c r="F310" s="24"/>
      <c r="G310" s="9"/>
      <c r="H310" s="9"/>
      <c r="I310" s="26"/>
      <c r="J310" s="26"/>
      <c r="K310" s="26"/>
      <c r="L310" s="24"/>
      <c r="M310" s="24"/>
      <c r="N310" s="14"/>
      <c r="O310" s="14"/>
      <c r="P310" s="27" t="str">
        <f aca="false">IF(OR(N310="",O310=""),"",O310-N310)</f>
        <v/>
      </c>
      <c r="Q310" s="28" t="str">
        <f aca="false">IF(A310="","",COUNTIF($B$5:$B$500,A310))</f>
        <v/>
      </c>
      <c r="R310" s="29" t="str">
        <f aca="false">IF(A310="","",IF(Q310&gt;0,COUNTIFS($B$5:$B$500,A310,$E$5:$E$500,"Done")/Q310,IF(E310="Done",1,0)))</f>
        <v/>
      </c>
      <c r="S310" s="30" t="str">
        <f aca="true">IF(OR(A310="",E310="Done",J310=""),"",IF(J310&lt;TODAY(),"OVERDUE",IF(J310-TODAY()&lt;=7,"Due this week","")))</f>
        <v/>
      </c>
      <c r="T310" s="25"/>
    </row>
    <row r="311" customFormat="false" ht="15" hidden="false" customHeight="false" outlineLevel="0" collapsed="false">
      <c r="A311" s="24"/>
      <c r="B311" s="24"/>
      <c r="C311" s="9"/>
      <c r="D311" s="25"/>
      <c r="E311" s="9"/>
      <c r="F311" s="24"/>
      <c r="G311" s="9"/>
      <c r="H311" s="9"/>
      <c r="I311" s="26"/>
      <c r="J311" s="26"/>
      <c r="K311" s="26"/>
      <c r="L311" s="24"/>
      <c r="M311" s="24"/>
      <c r="N311" s="14"/>
      <c r="O311" s="14"/>
      <c r="P311" s="27" t="str">
        <f aca="false">IF(OR(N311="",O311=""),"",O311-N311)</f>
        <v/>
      </c>
      <c r="Q311" s="28" t="str">
        <f aca="false">IF(A311="","",COUNTIF($B$5:$B$500,A311))</f>
        <v/>
      </c>
      <c r="R311" s="29" t="str">
        <f aca="false">IF(A311="","",IF(Q311&gt;0,COUNTIFS($B$5:$B$500,A311,$E$5:$E$500,"Done")/Q311,IF(E311="Done",1,0)))</f>
        <v/>
      </c>
      <c r="S311" s="30" t="str">
        <f aca="true">IF(OR(A311="",E311="Done",J311=""),"",IF(J311&lt;TODAY(),"OVERDUE",IF(J311-TODAY()&lt;=7,"Due this week","")))</f>
        <v/>
      </c>
      <c r="T311" s="25"/>
    </row>
    <row r="312" customFormat="false" ht="15" hidden="false" customHeight="false" outlineLevel="0" collapsed="false">
      <c r="A312" s="24"/>
      <c r="B312" s="24"/>
      <c r="C312" s="9"/>
      <c r="D312" s="25"/>
      <c r="E312" s="9"/>
      <c r="F312" s="24"/>
      <c r="G312" s="9"/>
      <c r="H312" s="9"/>
      <c r="I312" s="26"/>
      <c r="J312" s="26"/>
      <c r="K312" s="26"/>
      <c r="L312" s="24"/>
      <c r="M312" s="24"/>
      <c r="N312" s="14"/>
      <c r="O312" s="14"/>
      <c r="P312" s="27" t="str">
        <f aca="false">IF(OR(N312="",O312=""),"",O312-N312)</f>
        <v/>
      </c>
      <c r="Q312" s="28" t="str">
        <f aca="false">IF(A312="","",COUNTIF($B$5:$B$500,A312))</f>
        <v/>
      </c>
      <c r="R312" s="29" t="str">
        <f aca="false">IF(A312="","",IF(Q312&gt;0,COUNTIFS($B$5:$B$500,A312,$E$5:$E$500,"Done")/Q312,IF(E312="Done",1,0)))</f>
        <v/>
      </c>
      <c r="S312" s="30" t="str">
        <f aca="true">IF(OR(A312="",E312="Done",J312=""),"",IF(J312&lt;TODAY(),"OVERDUE",IF(J312-TODAY()&lt;=7,"Due this week","")))</f>
        <v/>
      </c>
      <c r="T312" s="25"/>
    </row>
    <row r="313" customFormat="false" ht="15" hidden="false" customHeight="false" outlineLevel="0" collapsed="false">
      <c r="A313" s="24"/>
      <c r="B313" s="24"/>
      <c r="C313" s="9"/>
      <c r="D313" s="25"/>
      <c r="E313" s="9"/>
      <c r="F313" s="24"/>
      <c r="G313" s="9"/>
      <c r="H313" s="9"/>
      <c r="I313" s="26"/>
      <c r="J313" s="26"/>
      <c r="K313" s="26"/>
      <c r="L313" s="24"/>
      <c r="M313" s="24"/>
      <c r="N313" s="14"/>
      <c r="O313" s="14"/>
      <c r="P313" s="27" t="str">
        <f aca="false">IF(OR(N313="",O313=""),"",O313-N313)</f>
        <v/>
      </c>
      <c r="Q313" s="28" t="str">
        <f aca="false">IF(A313="","",COUNTIF($B$5:$B$500,A313))</f>
        <v/>
      </c>
      <c r="R313" s="29" t="str">
        <f aca="false">IF(A313="","",IF(Q313&gt;0,COUNTIFS($B$5:$B$500,A313,$E$5:$E$500,"Done")/Q313,IF(E313="Done",1,0)))</f>
        <v/>
      </c>
      <c r="S313" s="30" t="str">
        <f aca="true">IF(OR(A313="",E313="Done",J313=""),"",IF(J313&lt;TODAY(),"OVERDUE",IF(J313-TODAY()&lt;=7,"Due this week","")))</f>
        <v/>
      </c>
      <c r="T313" s="25"/>
    </row>
    <row r="314" customFormat="false" ht="15" hidden="false" customHeight="false" outlineLevel="0" collapsed="false">
      <c r="A314" s="24"/>
      <c r="B314" s="24"/>
      <c r="C314" s="9"/>
      <c r="D314" s="25"/>
      <c r="E314" s="9"/>
      <c r="F314" s="24"/>
      <c r="G314" s="9"/>
      <c r="H314" s="9"/>
      <c r="I314" s="26"/>
      <c r="J314" s="26"/>
      <c r="K314" s="26"/>
      <c r="L314" s="24"/>
      <c r="M314" s="24"/>
      <c r="N314" s="14"/>
      <c r="O314" s="14"/>
      <c r="P314" s="27" t="str">
        <f aca="false">IF(OR(N314="",O314=""),"",O314-N314)</f>
        <v/>
      </c>
      <c r="Q314" s="28" t="str">
        <f aca="false">IF(A314="","",COUNTIF($B$5:$B$500,A314))</f>
        <v/>
      </c>
      <c r="R314" s="29" t="str">
        <f aca="false">IF(A314="","",IF(Q314&gt;0,COUNTIFS($B$5:$B$500,A314,$E$5:$E$500,"Done")/Q314,IF(E314="Done",1,0)))</f>
        <v/>
      </c>
      <c r="S314" s="30" t="str">
        <f aca="true">IF(OR(A314="",E314="Done",J314=""),"",IF(J314&lt;TODAY(),"OVERDUE",IF(J314-TODAY()&lt;=7,"Due this week","")))</f>
        <v/>
      </c>
      <c r="T314" s="25"/>
    </row>
    <row r="315" customFormat="false" ht="15" hidden="false" customHeight="false" outlineLevel="0" collapsed="false">
      <c r="A315" s="24"/>
      <c r="B315" s="24"/>
      <c r="C315" s="9"/>
      <c r="D315" s="25"/>
      <c r="E315" s="9"/>
      <c r="F315" s="24"/>
      <c r="G315" s="9"/>
      <c r="H315" s="9"/>
      <c r="I315" s="26"/>
      <c r="J315" s="26"/>
      <c r="K315" s="26"/>
      <c r="L315" s="24"/>
      <c r="M315" s="24"/>
      <c r="N315" s="14"/>
      <c r="O315" s="14"/>
      <c r="P315" s="27" t="str">
        <f aca="false">IF(OR(N315="",O315=""),"",O315-N315)</f>
        <v/>
      </c>
      <c r="Q315" s="28" t="str">
        <f aca="false">IF(A315="","",COUNTIF($B$5:$B$500,A315))</f>
        <v/>
      </c>
      <c r="R315" s="29" t="str">
        <f aca="false">IF(A315="","",IF(Q315&gt;0,COUNTIFS($B$5:$B$500,A315,$E$5:$E$500,"Done")/Q315,IF(E315="Done",1,0)))</f>
        <v/>
      </c>
      <c r="S315" s="30" t="str">
        <f aca="true">IF(OR(A315="",E315="Done",J315=""),"",IF(J315&lt;TODAY(),"OVERDUE",IF(J315-TODAY()&lt;=7,"Due this week","")))</f>
        <v/>
      </c>
      <c r="T315" s="25"/>
    </row>
    <row r="316" customFormat="false" ht="15" hidden="false" customHeight="false" outlineLevel="0" collapsed="false">
      <c r="A316" s="24"/>
      <c r="B316" s="24"/>
      <c r="C316" s="9"/>
      <c r="D316" s="25"/>
      <c r="E316" s="9"/>
      <c r="F316" s="24"/>
      <c r="G316" s="9"/>
      <c r="H316" s="9"/>
      <c r="I316" s="26"/>
      <c r="J316" s="26"/>
      <c r="K316" s="26"/>
      <c r="L316" s="24"/>
      <c r="M316" s="24"/>
      <c r="N316" s="14"/>
      <c r="O316" s="14"/>
      <c r="P316" s="27" t="str">
        <f aca="false">IF(OR(N316="",O316=""),"",O316-N316)</f>
        <v/>
      </c>
      <c r="Q316" s="28" t="str">
        <f aca="false">IF(A316="","",COUNTIF($B$5:$B$500,A316))</f>
        <v/>
      </c>
      <c r="R316" s="29" t="str">
        <f aca="false">IF(A316="","",IF(Q316&gt;0,COUNTIFS($B$5:$B$500,A316,$E$5:$E$500,"Done")/Q316,IF(E316="Done",1,0)))</f>
        <v/>
      </c>
      <c r="S316" s="30" t="str">
        <f aca="true">IF(OR(A316="",E316="Done",J316=""),"",IF(J316&lt;TODAY(),"OVERDUE",IF(J316-TODAY()&lt;=7,"Due this week","")))</f>
        <v/>
      </c>
      <c r="T316" s="25"/>
    </row>
    <row r="317" customFormat="false" ht="15" hidden="false" customHeight="false" outlineLevel="0" collapsed="false">
      <c r="A317" s="24"/>
      <c r="B317" s="24"/>
      <c r="C317" s="9"/>
      <c r="D317" s="25"/>
      <c r="E317" s="9"/>
      <c r="F317" s="24"/>
      <c r="G317" s="9"/>
      <c r="H317" s="9"/>
      <c r="I317" s="26"/>
      <c r="J317" s="26"/>
      <c r="K317" s="26"/>
      <c r="L317" s="24"/>
      <c r="M317" s="24"/>
      <c r="N317" s="14"/>
      <c r="O317" s="14"/>
      <c r="P317" s="27" t="str">
        <f aca="false">IF(OR(N317="",O317=""),"",O317-N317)</f>
        <v/>
      </c>
      <c r="Q317" s="28" t="str">
        <f aca="false">IF(A317="","",COUNTIF($B$5:$B$500,A317))</f>
        <v/>
      </c>
      <c r="R317" s="29" t="str">
        <f aca="false">IF(A317="","",IF(Q317&gt;0,COUNTIFS($B$5:$B$500,A317,$E$5:$E$500,"Done")/Q317,IF(E317="Done",1,0)))</f>
        <v/>
      </c>
      <c r="S317" s="30" t="str">
        <f aca="true">IF(OR(A317="",E317="Done",J317=""),"",IF(J317&lt;TODAY(),"OVERDUE",IF(J317-TODAY()&lt;=7,"Due this week","")))</f>
        <v/>
      </c>
      <c r="T317" s="25"/>
    </row>
    <row r="318" customFormat="false" ht="15" hidden="false" customHeight="false" outlineLevel="0" collapsed="false">
      <c r="A318" s="24"/>
      <c r="B318" s="24"/>
      <c r="C318" s="9"/>
      <c r="D318" s="25"/>
      <c r="E318" s="9"/>
      <c r="F318" s="24"/>
      <c r="G318" s="9"/>
      <c r="H318" s="9"/>
      <c r="I318" s="26"/>
      <c r="J318" s="26"/>
      <c r="K318" s="26"/>
      <c r="L318" s="24"/>
      <c r="M318" s="24"/>
      <c r="N318" s="14"/>
      <c r="O318" s="14"/>
      <c r="P318" s="27" t="str">
        <f aca="false">IF(OR(N318="",O318=""),"",O318-N318)</f>
        <v/>
      </c>
      <c r="Q318" s="28" t="str">
        <f aca="false">IF(A318="","",COUNTIF($B$5:$B$500,A318))</f>
        <v/>
      </c>
      <c r="R318" s="29" t="str">
        <f aca="false">IF(A318="","",IF(Q318&gt;0,COUNTIFS($B$5:$B$500,A318,$E$5:$E$500,"Done")/Q318,IF(E318="Done",1,0)))</f>
        <v/>
      </c>
      <c r="S318" s="30" t="str">
        <f aca="true">IF(OR(A318="",E318="Done",J318=""),"",IF(J318&lt;TODAY(),"OVERDUE",IF(J318-TODAY()&lt;=7,"Due this week","")))</f>
        <v/>
      </c>
      <c r="T318" s="25"/>
    </row>
    <row r="319" customFormat="false" ht="15" hidden="false" customHeight="false" outlineLevel="0" collapsed="false">
      <c r="A319" s="24"/>
      <c r="B319" s="24"/>
      <c r="C319" s="9"/>
      <c r="D319" s="25"/>
      <c r="E319" s="9"/>
      <c r="F319" s="24"/>
      <c r="G319" s="9"/>
      <c r="H319" s="9"/>
      <c r="I319" s="26"/>
      <c r="J319" s="26"/>
      <c r="K319" s="26"/>
      <c r="L319" s="24"/>
      <c r="M319" s="24"/>
      <c r="N319" s="14"/>
      <c r="O319" s="14"/>
      <c r="P319" s="27" t="str">
        <f aca="false">IF(OR(N319="",O319=""),"",O319-N319)</f>
        <v/>
      </c>
      <c r="Q319" s="28" t="str">
        <f aca="false">IF(A319="","",COUNTIF($B$5:$B$500,A319))</f>
        <v/>
      </c>
      <c r="R319" s="29" t="str">
        <f aca="false">IF(A319="","",IF(Q319&gt;0,COUNTIFS($B$5:$B$500,A319,$E$5:$E$500,"Done")/Q319,IF(E319="Done",1,0)))</f>
        <v/>
      </c>
      <c r="S319" s="30" t="str">
        <f aca="true">IF(OR(A319="",E319="Done",J319=""),"",IF(J319&lt;TODAY(),"OVERDUE",IF(J319-TODAY()&lt;=7,"Due this week","")))</f>
        <v/>
      </c>
      <c r="T319" s="25"/>
    </row>
    <row r="320" customFormat="false" ht="15" hidden="false" customHeight="false" outlineLevel="0" collapsed="false">
      <c r="A320" s="24"/>
      <c r="B320" s="24"/>
      <c r="C320" s="9"/>
      <c r="D320" s="25"/>
      <c r="E320" s="9"/>
      <c r="F320" s="24"/>
      <c r="G320" s="9"/>
      <c r="H320" s="9"/>
      <c r="I320" s="26"/>
      <c r="J320" s="26"/>
      <c r="K320" s="26"/>
      <c r="L320" s="24"/>
      <c r="M320" s="24"/>
      <c r="N320" s="14"/>
      <c r="O320" s="14"/>
      <c r="P320" s="27" t="str">
        <f aca="false">IF(OR(N320="",O320=""),"",O320-N320)</f>
        <v/>
      </c>
      <c r="Q320" s="28" t="str">
        <f aca="false">IF(A320="","",COUNTIF($B$5:$B$500,A320))</f>
        <v/>
      </c>
      <c r="R320" s="29" t="str">
        <f aca="false">IF(A320="","",IF(Q320&gt;0,COUNTIFS($B$5:$B$500,A320,$E$5:$E$500,"Done")/Q320,IF(E320="Done",1,0)))</f>
        <v/>
      </c>
      <c r="S320" s="30" t="str">
        <f aca="true">IF(OR(A320="",E320="Done",J320=""),"",IF(J320&lt;TODAY(),"OVERDUE",IF(J320-TODAY()&lt;=7,"Due this week","")))</f>
        <v/>
      </c>
      <c r="T320" s="25"/>
    </row>
    <row r="321" customFormat="false" ht="15" hidden="false" customHeight="false" outlineLevel="0" collapsed="false">
      <c r="A321" s="24"/>
      <c r="B321" s="24"/>
      <c r="C321" s="9"/>
      <c r="D321" s="25"/>
      <c r="E321" s="9"/>
      <c r="F321" s="24"/>
      <c r="G321" s="9"/>
      <c r="H321" s="9"/>
      <c r="I321" s="26"/>
      <c r="J321" s="26"/>
      <c r="K321" s="26"/>
      <c r="L321" s="24"/>
      <c r="M321" s="24"/>
      <c r="N321" s="14"/>
      <c r="O321" s="14"/>
      <c r="P321" s="27" t="str">
        <f aca="false">IF(OR(N321="",O321=""),"",O321-N321)</f>
        <v/>
      </c>
      <c r="Q321" s="28" t="str">
        <f aca="false">IF(A321="","",COUNTIF($B$5:$B$500,A321))</f>
        <v/>
      </c>
      <c r="R321" s="29" t="str">
        <f aca="false">IF(A321="","",IF(Q321&gt;0,COUNTIFS($B$5:$B$500,A321,$E$5:$E$500,"Done")/Q321,IF(E321="Done",1,0)))</f>
        <v/>
      </c>
      <c r="S321" s="30" t="str">
        <f aca="true">IF(OR(A321="",E321="Done",J321=""),"",IF(J321&lt;TODAY(),"OVERDUE",IF(J321-TODAY()&lt;=7,"Due this week","")))</f>
        <v/>
      </c>
      <c r="T321" s="25"/>
    </row>
    <row r="322" customFormat="false" ht="15" hidden="false" customHeight="false" outlineLevel="0" collapsed="false">
      <c r="A322" s="24"/>
      <c r="B322" s="24"/>
      <c r="C322" s="9"/>
      <c r="D322" s="25"/>
      <c r="E322" s="9"/>
      <c r="F322" s="24"/>
      <c r="G322" s="9"/>
      <c r="H322" s="9"/>
      <c r="I322" s="26"/>
      <c r="J322" s="26"/>
      <c r="K322" s="26"/>
      <c r="L322" s="24"/>
      <c r="M322" s="24"/>
      <c r="N322" s="14"/>
      <c r="O322" s="14"/>
      <c r="P322" s="27" t="str">
        <f aca="false">IF(OR(N322="",O322=""),"",O322-N322)</f>
        <v/>
      </c>
      <c r="Q322" s="28" t="str">
        <f aca="false">IF(A322="","",COUNTIF($B$5:$B$500,A322))</f>
        <v/>
      </c>
      <c r="R322" s="29" t="str">
        <f aca="false">IF(A322="","",IF(Q322&gt;0,COUNTIFS($B$5:$B$500,A322,$E$5:$E$500,"Done")/Q322,IF(E322="Done",1,0)))</f>
        <v/>
      </c>
      <c r="S322" s="30" t="str">
        <f aca="true">IF(OR(A322="",E322="Done",J322=""),"",IF(J322&lt;TODAY(),"OVERDUE",IF(J322-TODAY()&lt;=7,"Due this week","")))</f>
        <v/>
      </c>
      <c r="T322" s="25"/>
    </row>
    <row r="323" customFormat="false" ht="15" hidden="false" customHeight="false" outlineLevel="0" collapsed="false">
      <c r="A323" s="24"/>
      <c r="B323" s="24"/>
      <c r="C323" s="9"/>
      <c r="D323" s="25"/>
      <c r="E323" s="9"/>
      <c r="F323" s="24"/>
      <c r="G323" s="9"/>
      <c r="H323" s="9"/>
      <c r="I323" s="26"/>
      <c r="J323" s="26"/>
      <c r="K323" s="26"/>
      <c r="L323" s="24"/>
      <c r="M323" s="24"/>
      <c r="N323" s="14"/>
      <c r="O323" s="14"/>
      <c r="P323" s="27" t="str">
        <f aca="false">IF(OR(N323="",O323=""),"",O323-N323)</f>
        <v/>
      </c>
      <c r="Q323" s="28" t="str">
        <f aca="false">IF(A323="","",COUNTIF($B$5:$B$500,A323))</f>
        <v/>
      </c>
      <c r="R323" s="29" t="str">
        <f aca="false">IF(A323="","",IF(Q323&gt;0,COUNTIFS($B$5:$B$500,A323,$E$5:$E$500,"Done")/Q323,IF(E323="Done",1,0)))</f>
        <v/>
      </c>
      <c r="S323" s="30" t="str">
        <f aca="true">IF(OR(A323="",E323="Done",J323=""),"",IF(J323&lt;TODAY(),"OVERDUE",IF(J323-TODAY()&lt;=7,"Due this week","")))</f>
        <v/>
      </c>
      <c r="T323" s="25"/>
    </row>
    <row r="324" customFormat="false" ht="15" hidden="false" customHeight="false" outlineLevel="0" collapsed="false">
      <c r="A324" s="24"/>
      <c r="B324" s="24"/>
      <c r="C324" s="9"/>
      <c r="D324" s="25"/>
      <c r="E324" s="9"/>
      <c r="F324" s="24"/>
      <c r="G324" s="9"/>
      <c r="H324" s="9"/>
      <c r="I324" s="26"/>
      <c r="J324" s="26"/>
      <c r="K324" s="26"/>
      <c r="L324" s="24"/>
      <c r="M324" s="24"/>
      <c r="N324" s="14"/>
      <c r="O324" s="14"/>
      <c r="P324" s="27" t="str">
        <f aca="false">IF(OR(N324="",O324=""),"",O324-N324)</f>
        <v/>
      </c>
      <c r="Q324" s="28" t="str">
        <f aca="false">IF(A324="","",COUNTIF($B$5:$B$500,A324))</f>
        <v/>
      </c>
      <c r="R324" s="29" t="str">
        <f aca="false">IF(A324="","",IF(Q324&gt;0,COUNTIFS($B$5:$B$500,A324,$E$5:$E$500,"Done")/Q324,IF(E324="Done",1,0)))</f>
        <v/>
      </c>
      <c r="S324" s="30" t="str">
        <f aca="true">IF(OR(A324="",E324="Done",J324=""),"",IF(J324&lt;TODAY(),"OVERDUE",IF(J324-TODAY()&lt;=7,"Due this week","")))</f>
        <v/>
      </c>
      <c r="T324" s="25"/>
    </row>
    <row r="325" customFormat="false" ht="15" hidden="false" customHeight="false" outlineLevel="0" collapsed="false">
      <c r="A325" s="24"/>
      <c r="B325" s="24"/>
      <c r="C325" s="9"/>
      <c r="D325" s="25"/>
      <c r="E325" s="9"/>
      <c r="F325" s="24"/>
      <c r="G325" s="9"/>
      <c r="H325" s="9"/>
      <c r="I325" s="26"/>
      <c r="J325" s="26"/>
      <c r="K325" s="26"/>
      <c r="L325" s="24"/>
      <c r="M325" s="24"/>
      <c r="N325" s="14"/>
      <c r="O325" s="14"/>
      <c r="P325" s="27" t="str">
        <f aca="false">IF(OR(N325="",O325=""),"",O325-N325)</f>
        <v/>
      </c>
      <c r="Q325" s="28" t="str">
        <f aca="false">IF(A325="","",COUNTIF($B$5:$B$500,A325))</f>
        <v/>
      </c>
      <c r="R325" s="29" t="str">
        <f aca="false">IF(A325="","",IF(Q325&gt;0,COUNTIFS($B$5:$B$500,A325,$E$5:$E$500,"Done")/Q325,IF(E325="Done",1,0)))</f>
        <v/>
      </c>
      <c r="S325" s="30" t="str">
        <f aca="true">IF(OR(A325="",E325="Done",J325=""),"",IF(J325&lt;TODAY(),"OVERDUE",IF(J325-TODAY()&lt;=7,"Due this week","")))</f>
        <v/>
      </c>
      <c r="T325" s="25"/>
    </row>
    <row r="326" customFormat="false" ht="15" hidden="false" customHeight="false" outlineLevel="0" collapsed="false">
      <c r="A326" s="24"/>
      <c r="B326" s="24"/>
      <c r="C326" s="9"/>
      <c r="D326" s="25"/>
      <c r="E326" s="9"/>
      <c r="F326" s="24"/>
      <c r="G326" s="9"/>
      <c r="H326" s="9"/>
      <c r="I326" s="26"/>
      <c r="J326" s="26"/>
      <c r="K326" s="26"/>
      <c r="L326" s="24"/>
      <c r="M326" s="24"/>
      <c r="N326" s="14"/>
      <c r="O326" s="14"/>
      <c r="P326" s="27" t="str">
        <f aca="false">IF(OR(N326="",O326=""),"",O326-N326)</f>
        <v/>
      </c>
      <c r="Q326" s="28" t="str">
        <f aca="false">IF(A326="","",COUNTIF($B$5:$B$500,A326))</f>
        <v/>
      </c>
      <c r="R326" s="29" t="str">
        <f aca="false">IF(A326="","",IF(Q326&gt;0,COUNTIFS($B$5:$B$500,A326,$E$5:$E$500,"Done")/Q326,IF(E326="Done",1,0)))</f>
        <v/>
      </c>
      <c r="S326" s="30" t="str">
        <f aca="true">IF(OR(A326="",E326="Done",J326=""),"",IF(J326&lt;TODAY(),"OVERDUE",IF(J326-TODAY()&lt;=7,"Due this week","")))</f>
        <v/>
      </c>
      <c r="T326" s="25"/>
    </row>
    <row r="327" customFormat="false" ht="15" hidden="false" customHeight="false" outlineLevel="0" collapsed="false">
      <c r="A327" s="24"/>
      <c r="B327" s="24"/>
      <c r="C327" s="9"/>
      <c r="D327" s="25"/>
      <c r="E327" s="9"/>
      <c r="F327" s="24"/>
      <c r="G327" s="9"/>
      <c r="H327" s="9"/>
      <c r="I327" s="26"/>
      <c r="J327" s="26"/>
      <c r="K327" s="26"/>
      <c r="L327" s="24"/>
      <c r="M327" s="24"/>
      <c r="N327" s="14"/>
      <c r="O327" s="14"/>
      <c r="P327" s="27" t="str">
        <f aca="false">IF(OR(N327="",O327=""),"",O327-N327)</f>
        <v/>
      </c>
      <c r="Q327" s="28" t="str">
        <f aca="false">IF(A327="","",COUNTIF($B$5:$B$500,A327))</f>
        <v/>
      </c>
      <c r="R327" s="29" t="str">
        <f aca="false">IF(A327="","",IF(Q327&gt;0,COUNTIFS($B$5:$B$500,A327,$E$5:$E$500,"Done")/Q327,IF(E327="Done",1,0)))</f>
        <v/>
      </c>
      <c r="S327" s="30" t="str">
        <f aca="true">IF(OR(A327="",E327="Done",J327=""),"",IF(J327&lt;TODAY(),"OVERDUE",IF(J327-TODAY()&lt;=7,"Due this week","")))</f>
        <v/>
      </c>
      <c r="T327" s="25"/>
    </row>
    <row r="328" customFormat="false" ht="15" hidden="false" customHeight="false" outlineLevel="0" collapsed="false">
      <c r="A328" s="24"/>
      <c r="B328" s="24"/>
      <c r="C328" s="9"/>
      <c r="D328" s="25"/>
      <c r="E328" s="9"/>
      <c r="F328" s="24"/>
      <c r="G328" s="9"/>
      <c r="H328" s="9"/>
      <c r="I328" s="26"/>
      <c r="J328" s="26"/>
      <c r="K328" s="26"/>
      <c r="L328" s="24"/>
      <c r="M328" s="24"/>
      <c r="N328" s="14"/>
      <c r="O328" s="14"/>
      <c r="P328" s="27" t="str">
        <f aca="false">IF(OR(N328="",O328=""),"",O328-N328)</f>
        <v/>
      </c>
      <c r="Q328" s="28" t="str">
        <f aca="false">IF(A328="","",COUNTIF($B$5:$B$500,A328))</f>
        <v/>
      </c>
      <c r="R328" s="29" t="str">
        <f aca="false">IF(A328="","",IF(Q328&gt;0,COUNTIFS($B$5:$B$500,A328,$E$5:$E$500,"Done")/Q328,IF(E328="Done",1,0)))</f>
        <v/>
      </c>
      <c r="S328" s="30" t="str">
        <f aca="true">IF(OR(A328="",E328="Done",J328=""),"",IF(J328&lt;TODAY(),"OVERDUE",IF(J328-TODAY()&lt;=7,"Due this week","")))</f>
        <v/>
      </c>
      <c r="T328" s="25"/>
    </row>
    <row r="329" customFormat="false" ht="15" hidden="false" customHeight="false" outlineLevel="0" collapsed="false">
      <c r="A329" s="24"/>
      <c r="B329" s="24"/>
      <c r="C329" s="9"/>
      <c r="D329" s="25"/>
      <c r="E329" s="9"/>
      <c r="F329" s="24"/>
      <c r="G329" s="9"/>
      <c r="H329" s="9"/>
      <c r="I329" s="26"/>
      <c r="J329" s="26"/>
      <c r="K329" s="26"/>
      <c r="L329" s="24"/>
      <c r="M329" s="24"/>
      <c r="N329" s="14"/>
      <c r="O329" s="14"/>
      <c r="P329" s="27" t="str">
        <f aca="false">IF(OR(N329="",O329=""),"",O329-N329)</f>
        <v/>
      </c>
      <c r="Q329" s="28" t="str">
        <f aca="false">IF(A329="","",COUNTIF($B$5:$B$500,A329))</f>
        <v/>
      </c>
      <c r="R329" s="29" t="str">
        <f aca="false">IF(A329="","",IF(Q329&gt;0,COUNTIFS($B$5:$B$500,A329,$E$5:$E$500,"Done")/Q329,IF(E329="Done",1,0)))</f>
        <v/>
      </c>
      <c r="S329" s="30" t="str">
        <f aca="true">IF(OR(A329="",E329="Done",J329=""),"",IF(J329&lt;TODAY(),"OVERDUE",IF(J329-TODAY()&lt;=7,"Due this week","")))</f>
        <v/>
      </c>
      <c r="T329" s="25"/>
    </row>
    <row r="330" customFormat="false" ht="15" hidden="false" customHeight="false" outlineLevel="0" collapsed="false">
      <c r="A330" s="24"/>
      <c r="B330" s="24"/>
      <c r="C330" s="9"/>
      <c r="D330" s="25"/>
      <c r="E330" s="9"/>
      <c r="F330" s="24"/>
      <c r="G330" s="9"/>
      <c r="H330" s="9"/>
      <c r="I330" s="26"/>
      <c r="J330" s="26"/>
      <c r="K330" s="26"/>
      <c r="L330" s="24"/>
      <c r="M330" s="24"/>
      <c r="N330" s="14"/>
      <c r="O330" s="14"/>
      <c r="P330" s="27" t="str">
        <f aca="false">IF(OR(N330="",O330=""),"",O330-N330)</f>
        <v/>
      </c>
      <c r="Q330" s="28" t="str">
        <f aca="false">IF(A330="","",COUNTIF($B$5:$B$500,A330))</f>
        <v/>
      </c>
      <c r="R330" s="29" t="str">
        <f aca="false">IF(A330="","",IF(Q330&gt;0,COUNTIFS($B$5:$B$500,A330,$E$5:$E$500,"Done")/Q330,IF(E330="Done",1,0)))</f>
        <v/>
      </c>
      <c r="S330" s="30" t="str">
        <f aca="true">IF(OR(A330="",E330="Done",J330=""),"",IF(J330&lt;TODAY(),"OVERDUE",IF(J330-TODAY()&lt;=7,"Due this week","")))</f>
        <v/>
      </c>
      <c r="T330" s="25"/>
    </row>
    <row r="331" customFormat="false" ht="15" hidden="false" customHeight="false" outlineLevel="0" collapsed="false">
      <c r="A331" s="24"/>
      <c r="B331" s="24"/>
      <c r="C331" s="9"/>
      <c r="D331" s="25"/>
      <c r="E331" s="9"/>
      <c r="F331" s="24"/>
      <c r="G331" s="9"/>
      <c r="H331" s="9"/>
      <c r="I331" s="26"/>
      <c r="J331" s="26"/>
      <c r="K331" s="26"/>
      <c r="L331" s="24"/>
      <c r="M331" s="24"/>
      <c r="N331" s="14"/>
      <c r="O331" s="14"/>
      <c r="P331" s="27" t="str">
        <f aca="false">IF(OR(N331="",O331=""),"",O331-N331)</f>
        <v/>
      </c>
      <c r="Q331" s="28" t="str">
        <f aca="false">IF(A331="","",COUNTIF($B$5:$B$500,A331))</f>
        <v/>
      </c>
      <c r="R331" s="29" t="str">
        <f aca="false">IF(A331="","",IF(Q331&gt;0,COUNTIFS($B$5:$B$500,A331,$E$5:$E$500,"Done")/Q331,IF(E331="Done",1,0)))</f>
        <v/>
      </c>
      <c r="S331" s="30" t="str">
        <f aca="true">IF(OR(A331="",E331="Done",J331=""),"",IF(J331&lt;TODAY(),"OVERDUE",IF(J331-TODAY()&lt;=7,"Due this week","")))</f>
        <v/>
      </c>
      <c r="T331" s="25"/>
    </row>
    <row r="332" customFormat="false" ht="15" hidden="false" customHeight="false" outlineLevel="0" collapsed="false">
      <c r="A332" s="24"/>
      <c r="B332" s="24"/>
      <c r="C332" s="9"/>
      <c r="D332" s="25"/>
      <c r="E332" s="9"/>
      <c r="F332" s="24"/>
      <c r="G332" s="9"/>
      <c r="H332" s="9"/>
      <c r="I332" s="26"/>
      <c r="J332" s="26"/>
      <c r="K332" s="26"/>
      <c r="L332" s="24"/>
      <c r="M332" s="24"/>
      <c r="N332" s="14"/>
      <c r="O332" s="14"/>
      <c r="P332" s="27" t="str">
        <f aca="false">IF(OR(N332="",O332=""),"",O332-N332)</f>
        <v/>
      </c>
      <c r="Q332" s="28" t="str">
        <f aca="false">IF(A332="","",COUNTIF($B$5:$B$500,A332))</f>
        <v/>
      </c>
      <c r="R332" s="29" t="str">
        <f aca="false">IF(A332="","",IF(Q332&gt;0,COUNTIFS($B$5:$B$500,A332,$E$5:$E$500,"Done")/Q332,IF(E332="Done",1,0)))</f>
        <v/>
      </c>
      <c r="S332" s="30" t="str">
        <f aca="true">IF(OR(A332="",E332="Done",J332=""),"",IF(J332&lt;TODAY(),"OVERDUE",IF(J332-TODAY()&lt;=7,"Due this week","")))</f>
        <v/>
      </c>
      <c r="T332" s="25"/>
    </row>
    <row r="333" customFormat="false" ht="15" hidden="false" customHeight="false" outlineLevel="0" collapsed="false">
      <c r="A333" s="24"/>
      <c r="B333" s="24"/>
      <c r="C333" s="9"/>
      <c r="D333" s="25"/>
      <c r="E333" s="9"/>
      <c r="F333" s="24"/>
      <c r="G333" s="9"/>
      <c r="H333" s="9"/>
      <c r="I333" s="26"/>
      <c r="J333" s="26"/>
      <c r="K333" s="26"/>
      <c r="L333" s="24"/>
      <c r="M333" s="24"/>
      <c r="N333" s="14"/>
      <c r="O333" s="14"/>
      <c r="P333" s="27" t="str">
        <f aca="false">IF(OR(N333="",O333=""),"",O333-N333)</f>
        <v/>
      </c>
      <c r="Q333" s="28" t="str">
        <f aca="false">IF(A333="","",COUNTIF($B$5:$B$500,A333))</f>
        <v/>
      </c>
      <c r="R333" s="29" t="str">
        <f aca="false">IF(A333="","",IF(Q333&gt;0,COUNTIFS($B$5:$B$500,A333,$E$5:$E$500,"Done")/Q333,IF(E333="Done",1,0)))</f>
        <v/>
      </c>
      <c r="S333" s="30" t="str">
        <f aca="true">IF(OR(A333="",E333="Done",J333=""),"",IF(J333&lt;TODAY(),"OVERDUE",IF(J333-TODAY()&lt;=7,"Due this week","")))</f>
        <v/>
      </c>
      <c r="T333" s="25"/>
    </row>
    <row r="334" customFormat="false" ht="15" hidden="false" customHeight="false" outlineLevel="0" collapsed="false">
      <c r="A334" s="24"/>
      <c r="B334" s="24"/>
      <c r="C334" s="9"/>
      <c r="D334" s="25"/>
      <c r="E334" s="9"/>
      <c r="F334" s="24"/>
      <c r="G334" s="9"/>
      <c r="H334" s="9"/>
      <c r="I334" s="26"/>
      <c r="J334" s="26"/>
      <c r="K334" s="26"/>
      <c r="L334" s="24"/>
      <c r="M334" s="24"/>
      <c r="N334" s="14"/>
      <c r="O334" s="14"/>
      <c r="P334" s="27" t="str">
        <f aca="false">IF(OR(N334="",O334=""),"",O334-N334)</f>
        <v/>
      </c>
      <c r="Q334" s="28" t="str">
        <f aca="false">IF(A334="","",COUNTIF($B$5:$B$500,A334))</f>
        <v/>
      </c>
      <c r="R334" s="29" t="str">
        <f aca="false">IF(A334="","",IF(Q334&gt;0,COUNTIFS($B$5:$B$500,A334,$E$5:$E$500,"Done")/Q334,IF(E334="Done",1,0)))</f>
        <v/>
      </c>
      <c r="S334" s="30" t="str">
        <f aca="true">IF(OR(A334="",E334="Done",J334=""),"",IF(J334&lt;TODAY(),"OVERDUE",IF(J334-TODAY()&lt;=7,"Due this week","")))</f>
        <v/>
      </c>
      <c r="T334" s="25"/>
    </row>
    <row r="335" customFormat="false" ht="15" hidden="false" customHeight="false" outlineLevel="0" collapsed="false">
      <c r="A335" s="24"/>
      <c r="B335" s="24"/>
      <c r="C335" s="9"/>
      <c r="D335" s="25"/>
      <c r="E335" s="9"/>
      <c r="F335" s="24"/>
      <c r="G335" s="9"/>
      <c r="H335" s="9"/>
      <c r="I335" s="26"/>
      <c r="J335" s="26"/>
      <c r="K335" s="26"/>
      <c r="L335" s="24"/>
      <c r="M335" s="24"/>
      <c r="N335" s="14"/>
      <c r="O335" s="14"/>
      <c r="P335" s="27" t="str">
        <f aca="false">IF(OR(N335="",O335=""),"",O335-N335)</f>
        <v/>
      </c>
      <c r="Q335" s="28" t="str">
        <f aca="false">IF(A335="","",COUNTIF($B$5:$B$500,A335))</f>
        <v/>
      </c>
      <c r="R335" s="29" t="str">
        <f aca="false">IF(A335="","",IF(Q335&gt;0,COUNTIFS($B$5:$B$500,A335,$E$5:$E$500,"Done")/Q335,IF(E335="Done",1,0)))</f>
        <v/>
      </c>
      <c r="S335" s="30" t="str">
        <f aca="true">IF(OR(A335="",E335="Done",J335=""),"",IF(J335&lt;TODAY(),"OVERDUE",IF(J335-TODAY()&lt;=7,"Due this week","")))</f>
        <v/>
      </c>
      <c r="T335" s="25"/>
    </row>
    <row r="336" customFormat="false" ht="15" hidden="false" customHeight="false" outlineLevel="0" collapsed="false">
      <c r="A336" s="24"/>
      <c r="B336" s="24"/>
      <c r="C336" s="9"/>
      <c r="D336" s="25"/>
      <c r="E336" s="9"/>
      <c r="F336" s="24"/>
      <c r="G336" s="9"/>
      <c r="H336" s="9"/>
      <c r="I336" s="26"/>
      <c r="J336" s="26"/>
      <c r="K336" s="26"/>
      <c r="L336" s="24"/>
      <c r="M336" s="24"/>
      <c r="N336" s="14"/>
      <c r="O336" s="14"/>
      <c r="P336" s="27" t="str">
        <f aca="false">IF(OR(N336="",O336=""),"",O336-N336)</f>
        <v/>
      </c>
      <c r="Q336" s="28" t="str">
        <f aca="false">IF(A336="","",COUNTIF($B$5:$B$500,A336))</f>
        <v/>
      </c>
      <c r="R336" s="29" t="str">
        <f aca="false">IF(A336="","",IF(Q336&gt;0,COUNTIFS($B$5:$B$500,A336,$E$5:$E$500,"Done")/Q336,IF(E336="Done",1,0)))</f>
        <v/>
      </c>
      <c r="S336" s="30" t="str">
        <f aca="true">IF(OR(A336="",E336="Done",J336=""),"",IF(J336&lt;TODAY(),"OVERDUE",IF(J336-TODAY()&lt;=7,"Due this week","")))</f>
        <v/>
      </c>
      <c r="T336" s="25"/>
    </row>
    <row r="337" customFormat="false" ht="15" hidden="false" customHeight="false" outlineLevel="0" collapsed="false">
      <c r="A337" s="24"/>
      <c r="B337" s="24"/>
      <c r="C337" s="9"/>
      <c r="D337" s="25"/>
      <c r="E337" s="9"/>
      <c r="F337" s="24"/>
      <c r="G337" s="9"/>
      <c r="H337" s="9"/>
      <c r="I337" s="26"/>
      <c r="J337" s="26"/>
      <c r="K337" s="26"/>
      <c r="L337" s="24"/>
      <c r="M337" s="24"/>
      <c r="N337" s="14"/>
      <c r="O337" s="14"/>
      <c r="P337" s="27" t="str">
        <f aca="false">IF(OR(N337="",O337=""),"",O337-N337)</f>
        <v/>
      </c>
      <c r="Q337" s="28" t="str">
        <f aca="false">IF(A337="","",COUNTIF($B$5:$B$500,A337))</f>
        <v/>
      </c>
      <c r="R337" s="29" t="str">
        <f aca="false">IF(A337="","",IF(Q337&gt;0,COUNTIFS($B$5:$B$500,A337,$E$5:$E$500,"Done")/Q337,IF(E337="Done",1,0)))</f>
        <v/>
      </c>
      <c r="S337" s="30" t="str">
        <f aca="true">IF(OR(A337="",E337="Done",J337=""),"",IF(J337&lt;TODAY(),"OVERDUE",IF(J337-TODAY()&lt;=7,"Due this week","")))</f>
        <v/>
      </c>
      <c r="T337" s="25"/>
    </row>
    <row r="338" customFormat="false" ht="15" hidden="false" customHeight="false" outlineLevel="0" collapsed="false">
      <c r="A338" s="24"/>
      <c r="B338" s="24"/>
      <c r="C338" s="9"/>
      <c r="D338" s="25"/>
      <c r="E338" s="9"/>
      <c r="F338" s="24"/>
      <c r="G338" s="9"/>
      <c r="H338" s="9"/>
      <c r="I338" s="26"/>
      <c r="J338" s="26"/>
      <c r="K338" s="26"/>
      <c r="L338" s="24"/>
      <c r="M338" s="24"/>
      <c r="N338" s="14"/>
      <c r="O338" s="14"/>
      <c r="P338" s="27" t="str">
        <f aca="false">IF(OR(N338="",O338=""),"",O338-N338)</f>
        <v/>
      </c>
      <c r="Q338" s="28" t="str">
        <f aca="false">IF(A338="","",COUNTIF($B$5:$B$500,A338))</f>
        <v/>
      </c>
      <c r="R338" s="29" t="str">
        <f aca="false">IF(A338="","",IF(Q338&gt;0,COUNTIFS($B$5:$B$500,A338,$E$5:$E$500,"Done")/Q338,IF(E338="Done",1,0)))</f>
        <v/>
      </c>
      <c r="S338" s="30" t="str">
        <f aca="true">IF(OR(A338="",E338="Done",J338=""),"",IF(J338&lt;TODAY(),"OVERDUE",IF(J338-TODAY()&lt;=7,"Due this week","")))</f>
        <v/>
      </c>
      <c r="T338" s="25"/>
    </row>
    <row r="339" customFormat="false" ht="15" hidden="false" customHeight="false" outlineLevel="0" collapsed="false">
      <c r="A339" s="24"/>
      <c r="B339" s="24"/>
      <c r="C339" s="9"/>
      <c r="D339" s="25"/>
      <c r="E339" s="9"/>
      <c r="F339" s="24"/>
      <c r="G339" s="9"/>
      <c r="H339" s="9"/>
      <c r="I339" s="26"/>
      <c r="J339" s="26"/>
      <c r="K339" s="26"/>
      <c r="L339" s="24"/>
      <c r="M339" s="24"/>
      <c r="N339" s="14"/>
      <c r="O339" s="14"/>
      <c r="P339" s="27" t="str">
        <f aca="false">IF(OR(N339="",O339=""),"",O339-N339)</f>
        <v/>
      </c>
      <c r="Q339" s="28" t="str">
        <f aca="false">IF(A339="","",COUNTIF($B$5:$B$500,A339))</f>
        <v/>
      </c>
      <c r="R339" s="29" t="str">
        <f aca="false">IF(A339="","",IF(Q339&gt;0,COUNTIFS($B$5:$B$500,A339,$E$5:$E$500,"Done")/Q339,IF(E339="Done",1,0)))</f>
        <v/>
      </c>
      <c r="S339" s="30" t="str">
        <f aca="true">IF(OR(A339="",E339="Done",J339=""),"",IF(J339&lt;TODAY(),"OVERDUE",IF(J339-TODAY()&lt;=7,"Due this week","")))</f>
        <v/>
      </c>
      <c r="T339" s="25"/>
    </row>
    <row r="340" customFormat="false" ht="15" hidden="false" customHeight="false" outlineLevel="0" collapsed="false">
      <c r="A340" s="24"/>
      <c r="B340" s="24"/>
      <c r="C340" s="9"/>
      <c r="D340" s="25"/>
      <c r="E340" s="9"/>
      <c r="F340" s="24"/>
      <c r="G340" s="9"/>
      <c r="H340" s="9"/>
      <c r="I340" s="26"/>
      <c r="J340" s="26"/>
      <c r="K340" s="26"/>
      <c r="L340" s="24"/>
      <c r="M340" s="24"/>
      <c r="N340" s="14"/>
      <c r="O340" s="14"/>
      <c r="P340" s="27" t="str">
        <f aca="false">IF(OR(N340="",O340=""),"",O340-N340)</f>
        <v/>
      </c>
      <c r="Q340" s="28" t="str">
        <f aca="false">IF(A340="","",COUNTIF($B$5:$B$500,A340))</f>
        <v/>
      </c>
      <c r="R340" s="29" t="str">
        <f aca="false">IF(A340="","",IF(Q340&gt;0,COUNTIFS($B$5:$B$500,A340,$E$5:$E$500,"Done")/Q340,IF(E340="Done",1,0)))</f>
        <v/>
      </c>
      <c r="S340" s="30" t="str">
        <f aca="true">IF(OR(A340="",E340="Done",J340=""),"",IF(J340&lt;TODAY(),"OVERDUE",IF(J340-TODAY()&lt;=7,"Due this week","")))</f>
        <v/>
      </c>
      <c r="T340" s="25"/>
    </row>
    <row r="341" customFormat="false" ht="15" hidden="false" customHeight="false" outlineLevel="0" collapsed="false">
      <c r="A341" s="24"/>
      <c r="B341" s="24"/>
      <c r="C341" s="9"/>
      <c r="D341" s="25"/>
      <c r="E341" s="9"/>
      <c r="F341" s="24"/>
      <c r="G341" s="9"/>
      <c r="H341" s="9"/>
      <c r="I341" s="26"/>
      <c r="J341" s="26"/>
      <c r="K341" s="26"/>
      <c r="L341" s="24"/>
      <c r="M341" s="24"/>
      <c r="N341" s="14"/>
      <c r="O341" s="14"/>
      <c r="P341" s="27" t="str">
        <f aca="false">IF(OR(N341="",O341=""),"",O341-N341)</f>
        <v/>
      </c>
      <c r="Q341" s="28" t="str">
        <f aca="false">IF(A341="","",COUNTIF($B$5:$B$500,A341))</f>
        <v/>
      </c>
      <c r="R341" s="29" t="str">
        <f aca="false">IF(A341="","",IF(Q341&gt;0,COUNTIFS($B$5:$B$500,A341,$E$5:$E$500,"Done")/Q341,IF(E341="Done",1,0)))</f>
        <v/>
      </c>
      <c r="S341" s="30" t="str">
        <f aca="true">IF(OR(A341="",E341="Done",J341=""),"",IF(J341&lt;TODAY(),"OVERDUE",IF(J341-TODAY()&lt;=7,"Due this week","")))</f>
        <v/>
      </c>
      <c r="T341" s="25"/>
    </row>
    <row r="342" customFormat="false" ht="15" hidden="false" customHeight="false" outlineLevel="0" collapsed="false">
      <c r="A342" s="24"/>
      <c r="B342" s="24"/>
      <c r="C342" s="9"/>
      <c r="D342" s="25"/>
      <c r="E342" s="9"/>
      <c r="F342" s="24"/>
      <c r="G342" s="9"/>
      <c r="H342" s="9"/>
      <c r="I342" s="26"/>
      <c r="J342" s="26"/>
      <c r="K342" s="26"/>
      <c r="L342" s="24"/>
      <c r="M342" s="24"/>
      <c r="N342" s="14"/>
      <c r="O342" s="14"/>
      <c r="P342" s="27" t="str">
        <f aca="false">IF(OR(N342="",O342=""),"",O342-N342)</f>
        <v/>
      </c>
      <c r="Q342" s="28" t="str">
        <f aca="false">IF(A342="","",COUNTIF($B$5:$B$500,A342))</f>
        <v/>
      </c>
      <c r="R342" s="29" t="str">
        <f aca="false">IF(A342="","",IF(Q342&gt;0,COUNTIFS($B$5:$B$500,A342,$E$5:$E$500,"Done")/Q342,IF(E342="Done",1,0)))</f>
        <v/>
      </c>
      <c r="S342" s="30" t="str">
        <f aca="true">IF(OR(A342="",E342="Done",J342=""),"",IF(J342&lt;TODAY(),"OVERDUE",IF(J342-TODAY()&lt;=7,"Due this week","")))</f>
        <v/>
      </c>
      <c r="T342" s="25"/>
    </row>
    <row r="343" customFormat="false" ht="15" hidden="false" customHeight="false" outlineLevel="0" collapsed="false">
      <c r="A343" s="24"/>
      <c r="B343" s="24"/>
      <c r="C343" s="9"/>
      <c r="D343" s="25"/>
      <c r="E343" s="9"/>
      <c r="F343" s="24"/>
      <c r="G343" s="9"/>
      <c r="H343" s="9"/>
      <c r="I343" s="26"/>
      <c r="J343" s="26"/>
      <c r="K343" s="26"/>
      <c r="L343" s="24"/>
      <c r="M343" s="24"/>
      <c r="N343" s="14"/>
      <c r="O343" s="14"/>
      <c r="P343" s="27" t="str">
        <f aca="false">IF(OR(N343="",O343=""),"",O343-N343)</f>
        <v/>
      </c>
      <c r="Q343" s="28" t="str">
        <f aca="false">IF(A343="","",COUNTIF($B$5:$B$500,A343))</f>
        <v/>
      </c>
      <c r="R343" s="29" t="str">
        <f aca="false">IF(A343="","",IF(Q343&gt;0,COUNTIFS($B$5:$B$500,A343,$E$5:$E$500,"Done")/Q343,IF(E343="Done",1,0)))</f>
        <v/>
      </c>
      <c r="S343" s="30" t="str">
        <f aca="true">IF(OR(A343="",E343="Done",J343=""),"",IF(J343&lt;TODAY(),"OVERDUE",IF(J343-TODAY()&lt;=7,"Due this week","")))</f>
        <v/>
      </c>
      <c r="T343" s="25"/>
    </row>
    <row r="344" customFormat="false" ht="15" hidden="false" customHeight="false" outlineLevel="0" collapsed="false">
      <c r="A344" s="24"/>
      <c r="B344" s="24"/>
      <c r="C344" s="9"/>
      <c r="D344" s="25"/>
      <c r="E344" s="9"/>
      <c r="F344" s="24"/>
      <c r="G344" s="9"/>
      <c r="H344" s="9"/>
      <c r="I344" s="26"/>
      <c r="J344" s="26"/>
      <c r="K344" s="26"/>
      <c r="L344" s="24"/>
      <c r="M344" s="24"/>
      <c r="N344" s="14"/>
      <c r="O344" s="14"/>
      <c r="P344" s="27" t="str">
        <f aca="false">IF(OR(N344="",O344=""),"",O344-N344)</f>
        <v/>
      </c>
      <c r="Q344" s="28" t="str">
        <f aca="false">IF(A344="","",COUNTIF($B$5:$B$500,A344))</f>
        <v/>
      </c>
      <c r="R344" s="29" t="str">
        <f aca="false">IF(A344="","",IF(Q344&gt;0,COUNTIFS($B$5:$B$500,A344,$E$5:$E$500,"Done")/Q344,IF(E344="Done",1,0)))</f>
        <v/>
      </c>
      <c r="S344" s="30" t="str">
        <f aca="true">IF(OR(A344="",E344="Done",J344=""),"",IF(J344&lt;TODAY(),"OVERDUE",IF(J344-TODAY()&lt;=7,"Due this week","")))</f>
        <v/>
      </c>
      <c r="T344" s="25"/>
    </row>
    <row r="345" customFormat="false" ht="15" hidden="false" customHeight="false" outlineLevel="0" collapsed="false">
      <c r="A345" s="24"/>
      <c r="B345" s="24"/>
      <c r="C345" s="9"/>
      <c r="D345" s="25"/>
      <c r="E345" s="9"/>
      <c r="F345" s="24"/>
      <c r="G345" s="9"/>
      <c r="H345" s="9"/>
      <c r="I345" s="26"/>
      <c r="J345" s="26"/>
      <c r="K345" s="26"/>
      <c r="L345" s="24"/>
      <c r="M345" s="24"/>
      <c r="N345" s="14"/>
      <c r="O345" s="14"/>
      <c r="P345" s="27" t="str">
        <f aca="false">IF(OR(N345="",O345=""),"",O345-N345)</f>
        <v/>
      </c>
      <c r="Q345" s="28" t="str">
        <f aca="false">IF(A345="","",COUNTIF($B$5:$B$500,A345))</f>
        <v/>
      </c>
      <c r="R345" s="29" t="str">
        <f aca="false">IF(A345="","",IF(Q345&gt;0,COUNTIFS($B$5:$B$500,A345,$E$5:$E$500,"Done")/Q345,IF(E345="Done",1,0)))</f>
        <v/>
      </c>
      <c r="S345" s="30" t="str">
        <f aca="true">IF(OR(A345="",E345="Done",J345=""),"",IF(J345&lt;TODAY(),"OVERDUE",IF(J345-TODAY()&lt;=7,"Due this week","")))</f>
        <v/>
      </c>
      <c r="T345" s="25"/>
    </row>
    <row r="346" customFormat="false" ht="15" hidden="false" customHeight="false" outlineLevel="0" collapsed="false">
      <c r="A346" s="24"/>
      <c r="B346" s="24"/>
      <c r="C346" s="9"/>
      <c r="D346" s="25"/>
      <c r="E346" s="9"/>
      <c r="F346" s="24"/>
      <c r="G346" s="9"/>
      <c r="H346" s="9"/>
      <c r="I346" s="26"/>
      <c r="J346" s="26"/>
      <c r="K346" s="26"/>
      <c r="L346" s="24"/>
      <c r="M346" s="24"/>
      <c r="N346" s="14"/>
      <c r="O346" s="14"/>
      <c r="P346" s="27" t="str">
        <f aca="false">IF(OR(N346="",O346=""),"",O346-N346)</f>
        <v/>
      </c>
      <c r="Q346" s="28" t="str">
        <f aca="false">IF(A346="","",COUNTIF($B$5:$B$500,A346))</f>
        <v/>
      </c>
      <c r="R346" s="29" t="str">
        <f aca="false">IF(A346="","",IF(Q346&gt;0,COUNTIFS($B$5:$B$500,A346,$E$5:$E$500,"Done")/Q346,IF(E346="Done",1,0)))</f>
        <v/>
      </c>
      <c r="S346" s="30" t="str">
        <f aca="true">IF(OR(A346="",E346="Done",J346=""),"",IF(J346&lt;TODAY(),"OVERDUE",IF(J346-TODAY()&lt;=7,"Due this week","")))</f>
        <v/>
      </c>
      <c r="T346" s="25"/>
    </row>
    <row r="347" customFormat="false" ht="15" hidden="false" customHeight="false" outlineLevel="0" collapsed="false">
      <c r="A347" s="24"/>
      <c r="B347" s="24"/>
      <c r="C347" s="9"/>
      <c r="D347" s="25"/>
      <c r="E347" s="9"/>
      <c r="F347" s="24"/>
      <c r="G347" s="9"/>
      <c r="H347" s="9"/>
      <c r="I347" s="26"/>
      <c r="J347" s="26"/>
      <c r="K347" s="26"/>
      <c r="L347" s="24"/>
      <c r="M347" s="24"/>
      <c r="N347" s="14"/>
      <c r="O347" s="14"/>
      <c r="P347" s="27" t="str">
        <f aca="false">IF(OR(N347="",O347=""),"",O347-N347)</f>
        <v/>
      </c>
      <c r="Q347" s="28" t="str">
        <f aca="false">IF(A347="","",COUNTIF($B$5:$B$500,A347))</f>
        <v/>
      </c>
      <c r="R347" s="29" t="str">
        <f aca="false">IF(A347="","",IF(Q347&gt;0,COUNTIFS($B$5:$B$500,A347,$E$5:$E$500,"Done")/Q347,IF(E347="Done",1,0)))</f>
        <v/>
      </c>
      <c r="S347" s="30" t="str">
        <f aca="true">IF(OR(A347="",E347="Done",J347=""),"",IF(J347&lt;TODAY(),"OVERDUE",IF(J347-TODAY()&lt;=7,"Due this week","")))</f>
        <v/>
      </c>
      <c r="T347" s="25"/>
    </row>
    <row r="348" customFormat="false" ht="15" hidden="false" customHeight="false" outlineLevel="0" collapsed="false">
      <c r="A348" s="24"/>
      <c r="B348" s="24"/>
      <c r="C348" s="9"/>
      <c r="D348" s="25"/>
      <c r="E348" s="9"/>
      <c r="F348" s="24"/>
      <c r="G348" s="9"/>
      <c r="H348" s="9"/>
      <c r="I348" s="26"/>
      <c r="J348" s="26"/>
      <c r="K348" s="26"/>
      <c r="L348" s="24"/>
      <c r="M348" s="24"/>
      <c r="N348" s="14"/>
      <c r="O348" s="14"/>
      <c r="P348" s="27" t="str">
        <f aca="false">IF(OR(N348="",O348=""),"",O348-N348)</f>
        <v/>
      </c>
      <c r="Q348" s="28" t="str">
        <f aca="false">IF(A348="","",COUNTIF($B$5:$B$500,A348))</f>
        <v/>
      </c>
      <c r="R348" s="29" t="str">
        <f aca="false">IF(A348="","",IF(Q348&gt;0,COUNTIFS($B$5:$B$500,A348,$E$5:$E$500,"Done")/Q348,IF(E348="Done",1,0)))</f>
        <v/>
      </c>
      <c r="S348" s="30" t="str">
        <f aca="true">IF(OR(A348="",E348="Done",J348=""),"",IF(J348&lt;TODAY(),"OVERDUE",IF(J348-TODAY()&lt;=7,"Due this week","")))</f>
        <v/>
      </c>
      <c r="T348" s="25"/>
    </row>
    <row r="349" customFormat="false" ht="15" hidden="false" customHeight="false" outlineLevel="0" collapsed="false">
      <c r="A349" s="24"/>
      <c r="B349" s="24"/>
      <c r="C349" s="9"/>
      <c r="D349" s="25"/>
      <c r="E349" s="9"/>
      <c r="F349" s="24"/>
      <c r="G349" s="9"/>
      <c r="H349" s="9"/>
      <c r="I349" s="26"/>
      <c r="J349" s="26"/>
      <c r="K349" s="26"/>
      <c r="L349" s="24"/>
      <c r="M349" s="24"/>
      <c r="N349" s="14"/>
      <c r="O349" s="14"/>
      <c r="P349" s="27" t="str">
        <f aca="false">IF(OR(N349="",O349=""),"",O349-N349)</f>
        <v/>
      </c>
      <c r="Q349" s="28" t="str">
        <f aca="false">IF(A349="","",COUNTIF($B$5:$B$500,A349))</f>
        <v/>
      </c>
      <c r="R349" s="29" t="str">
        <f aca="false">IF(A349="","",IF(Q349&gt;0,COUNTIFS($B$5:$B$500,A349,$E$5:$E$500,"Done")/Q349,IF(E349="Done",1,0)))</f>
        <v/>
      </c>
      <c r="S349" s="30" t="str">
        <f aca="true">IF(OR(A349="",E349="Done",J349=""),"",IF(J349&lt;TODAY(),"OVERDUE",IF(J349-TODAY()&lt;=7,"Due this week","")))</f>
        <v/>
      </c>
      <c r="T349" s="25"/>
    </row>
    <row r="350" customFormat="false" ht="15" hidden="false" customHeight="false" outlineLevel="0" collapsed="false">
      <c r="A350" s="24"/>
      <c r="B350" s="24"/>
      <c r="C350" s="9"/>
      <c r="D350" s="25"/>
      <c r="E350" s="9"/>
      <c r="F350" s="24"/>
      <c r="G350" s="9"/>
      <c r="H350" s="9"/>
      <c r="I350" s="26"/>
      <c r="J350" s="26"/>
      <c r="K350" s="26"/>
      <c r="L350" s="24"/>
      <c r="M350" s="24"/>
      <c r="N350" s="14"/>
      <c r="O350" s="14"/>
      <c r="P350" s="27" t="str">
        <f aca="false">IF(OR(N350="",O350=""),"",O350-N350)</f>
        <v/>
      </c>
      <c r="Q350" s="28" t="str">
        <f aca="false">IF(A350="","",COUNTIF($B$5:$B$500,A350))</f>
        <v/>
      </c>
      <c r="R350" s="29" t="str">
        <f aca="false">IF(A350="","",IF(Q350&gt;0,COUNTIFS($B$5:$B$500,A350,$E$5:$E$500,"Done")/Q350,IF(E350="Done",1,0)))</f>
        <v/>
      </c>
      <c r="S350" s="30" t="str">
        <f aca="true">IF(OR(A350="",E350="Done",J350=""),"",IF(J350&lt;TODAY(),"OVERDUE",IF(J350-TODAY()&lt;=7,"Due this week","")))</f>
        <v/>
      </c>
      <c r="T350" s="25"/>
    </row>
    <row r="351" customFormat="false" ht="15" hidden="false" customHeight="false" outlineLevel="0" collapsed="false">
      <c r="A351" s="24"/>
      <c r="B351" s="24"/>
      <c r="C351" s="9"/>
      <c r="D351" s="25"/>
      <c r="E351" s="9"/>
      <c r="F351" s="24"/>
      <c r="G351" s="9"/>
      <c r="H351" s="9"/>
      <c r="I351" s="26"/>
      <c r="J351" s="26"/>
      <c r="K351" s="26"/>
      <c r="L351" s="24"/>
      <c r="M351" s="24"/>
      <c r="N351" s="14"/>
      <c r="O351" s="14"/>
      <c r="P351" s="27" t="str">
        <f aca="false">IF(OR(N351="",O351=""),"",O351-N351)</f>
        <v/>
      </c>
      <c r="Q351" s="28" t="str">
        <f aca="false">IF(A351="","",COUNTIF($B$5:$B$500,A351))</f>
        <v/>
      </c>
      <c r="R351" s="29" t="str">
        <f aca="false">IF(A351="","",IF(Q351&gt;0,COUNTIFS($B$5:$B$500,A351,$E$5:$E$500,"Done")/Q351,IF(E351="Done",1,0)))</f>
        <v/>
      </c>
      <c r="S351" s="30" t="str">
        <f aca="true">IF(OR(A351="",E351="Done",J351=""),"",IF(J351&lt;TODAY(),"OVERDUE",IF(J351-TODAY()&lt;=7,"Due this week","")))</f>
        <v/>
      </c>
      <c r="T351" s="25"/>
    </row>
    <row r="352" customFormat="false" ht="15" hidden="false" customHeight="false" outlineLevel="0" collapsed="false">
      <c r="A352" s="24"/>
      <c r="B352" s="24"/>
      <c r="C352" s="9"/>
      <c r="D352" s="25"/>
      <c r="E352" s="9"/>
      <c r="F352" s="24"/>
      <c r="G352" s="9"/>
      <c r="H352" s="9"/>
      <c r="I352" s="26"/>
      <c r="J352" s="26"/>
      <c r="K352" s="26"/>
      <c r="L352" s="24"/>
      <c r="M352" s="24"/>
      <c r="N352" s="14"/>
      <c r="O352" s="14"/>
      <c r="P352" s="27" t="str">
        <f aca="false">IF(OR(N352="",O352=""),"",O352-N352)</f>
        <v/>
      </c>
      <c r="Q352" s="28" t="str">
        <f aca="false">IF(A352="","",COUNTIF($B$5:$B$500,A352))</f>
        <v/>
      </c>
      <c r="R352" s="29" t="str">
        <f aca="false">IF(A352="","",IF(Q352&gt;0,COUNTIFS($B$5:$B$500,A352,$E$5:$E$500,"Done")/Q352,IF(E352="Done",1,0)))</f>
        <v/>
      </c>
      <c r="S352" s="30" t="str">
        <f aca="true">IF(OR(A352="",E352="Done",J352=""),"",IF(J352&lt;TODAY(),"OVERDUE",IF(J352-TODAY()&lt;=7,"Due this week","")))</f>
        <v/>
      </c>
      <c r="T352" s="25"/>
    </row>
    <row r="353" customFormat="false" ht="15" hidden="false" customHeight="false" outlineLevel="0" collapsed="false">
      <c r="A353" s="24"/>
      <c r="B353" s="24"/>
      <c r="C353" s="9"/>
      <c r="D353" s="25"/>
      <c r="E353" s="9"/>
      <c r="F353" s="24"/>
      <c r="G353" s="9"/>
      <c r="H353" s="9"/>
      <c r="I353" s="26"/>
      <c r="J353" s="26"/>
      <c r="K353" s="26"/>
      <c r="L353" s="24"/>
      <c r="M353" s="24"/>
      <c r="N353" s="14"/>
      <c r="O353" s="14"/>
      <c r="P353" s="27" t="str">
        <f aca="false">IF(OR(N353="",O353=""),"",O353-N353)</f>
        <v/>
      </c>
      <c r="Q353" s="28" t="str">
        <f aca="false">IF(A353="","",COUNTIF($B$5:$B$500,A353))</f>
        <v/>
      </c>
      <c r="R353" s="29" t="str">
        <f aca="false">IF(A353="","",IF(Q353&gt;0,COUNTIFS($B$5:$B$500,A353,$E$5:$E$500,"Done")/Q353,IF(E353="Done",1,0)))</f>
        <v/>
      </c>
      <c r="S353" s="30" t="str">
        <f aca="true">IF(OR(A353="",E353="Done",J353=""),"",IF(J353&lt;TODAY(),"OVERDUE",IF(J353-TODAY()&lt;=7,"Due this week","")))</f>
        <v/>
      </c>
      <c r="T353" s="25"/>
    </row>
    <row r="354" customFormat="false" ht="15" hidden="false" customHeight="false" outlineLevel="0" collapsed="false">
      <c r="A354" s="24"/>
      <c r="B354" s="24"/>
      <c r="C354" s="9"/>
      <c r="D354" s="25"/>
      <c r="E354" s="9"/>
      <c r="F354" s="24"/>
      <c r="G354" s="9"/>
      <c r="H354" s="9"/>
      <c r="I354" s="26"/>
      <c r="J354" s="26"/>
      <c r="K354" s="26"/>
      <c r="L354" s="24"/>
      <c r="M354" s="24"/>
      <c r="N354" s="14"/>
      <c r="O354" s="14"/>
      <c r="P354" s="27" t="str">
        <f aca="false">IF(OR(N354="",O354=""),"",O354-N354)</f>
        <v/>
      </c>
      <c r="Q354" s="28" t="str">
        <f aca="false">IF(A354="","",COUNTIF($B$5:$B$500,A354))</f>
        <v/>
      </c>
      <c r="R354" s="29" t="str">
        <f aca="false">IF(A354="","",IF(Q354&gt;0,COUNTIFS($B$5:$B$500,A354,$E$5:$E$500,"Done")/Q354,IF(E354="Done",1,0)))</f>
        <v/>
      </c>
      <c r="S354" s="30" t="str">
        <f aca="true">IF(OR(A354="",E354="Done",J354=""),"",IF(J354&lt;TODAY(),"OVERDUE",IF(J354-TODAY()&lt;=7,"Due this week","")))</f>
        <v/>
      </c>
      <c r="T354" s="25"/>
    </row>
    <row r="355" customFormat="false" ht="15" hidden="false" customHeight="false" outlineLevel="0" collapsed="false">
      <c r="A355" s="24"/>
      <c r="B355" s="24"/>
      <c r="C355" s="9"/>
      <c r="D355" s="25"/>
      <c r="E355" s="9"/>
      <c r="F355" s="24"/>
      <c r="G355" s="9"/>
      <c r="H355" s="9"/>
      <c r="I355" s="26"/>
      <c r="J355" s="26"/>
      <c r="K355" s="26"/>
      <c r="L355" s="24"/>
      <c r="M355" s="24"/>
      <c r="N355" s="14"/>
      <c r="O355" s="14"/>
      <c r="P355" s="27" t="str">
        <f aca="false">IF(OR(N355="",O355=""),"",O355-N355)</f>
        <v/>
      </c>
      <c r="Q355" s="28" t="str">
        <f aca="false">IF(A355="","",COUNTIF($B$5:$B$500,A355))</f>
        <v/>
      </c>
      <c r="R355" s="29" t="str">
        <f aca="false">IF(A355="","",IF(Q355&gt;0,COUNTIFS($B$5:$B$500,A355,$E$5:$E$500,"Done")/Q355,IF(E355="Done",1,0)))</f>
        <v/>
      </c>
      <c r="S355" s="30" t="str">
        <f aca="true">IF(OR(A355="",E355="Done",J355=""),"",IF(J355&lt;TODAY(),"OVERDUE",IF(J355-TODAY()&lt;=7,"Due this week","")))</f>
        <v/>
      </c>
      <c r="T355" s="25"/>
    </row>
    <row r="356" customFormat="false" ht="15" hidden="false" customHeight="false" outlineLevel="0" collapsed="false">
      <c r="A356" s="24"/>
      <c r="B356" s="24"/>
      <c r="C356" s="9"/>
      <c r="D356" s="25"/>
      <c r="E356" s="9"/>
      <c r="F356" s="24"/>
      <c r="G356" s="9"/>
      <c r="H356" s="9"/>
      <c r="I356" s="26"/>
      <c r="J356" s="26"/>
      <c r="K356" s="26"/>
      <c r="L356" s="24"/>
      <c r="M356" s="24"/>
      <c r="N356" s="14"/>
      <c r="O356" s="14"/>
      <c r="P356" s="27" t="str">
        <f aca="false">IF(OR(N356="",O356=""),"",O356-N356)</f>
        <v/>
      </c>
      <c r="Q356" s="28" t="str">
        <f aca="false">IF(A356="","",COUNTIF($B$5:$B$500,A356))</f>
        <v/>
      </c>
      <c r="R356" s="29" t="str">
        <f aca="false">IF(A356="","",IF(Q356&gt;0,COUNTIFS($B$5:$B$500,A356,$E$5:$E$500,"Done")/Q356,IF(E356="Done",1,0)))</f>
        <v/>
      </c>
      <c r="S356" s="30" t="str">
        <f aca="true">IF(OR(A356="",E356="Done",J356=""),"",IF(J356&lt;TODAY(),"OVERDUE",IF(J356-TODAY()&lt;=7,"Due this week","")))</f>
        <v/>
      </c>
      <c r="T356" s="25"/>
    </row>
    <row r="357" customFormat="false" ht="15" hidden="false" customHeight="false" outlineLevel="0" collapsed="false">
      <c r="A357" s="24"/>
      <c r="B357" s="24"/>
      <c r="C357" s="9"/>
      <c r="D357" s="25"/>
      <c r="E357" s="9"/>
      <c r="F357" s="24"/>
      <c r="G357" s="9"/>
      <c r="H357" s="9"/>
      <c r="I357" s="26"/>
      <c r="J357" s="26"/>
      <c r="K357" s="26"/>
      <c r="L357" s="24"/>
      <c r="M357" s="24"/>
      <c r="N357" s="14"/>
      <c r="O357" s="14"/>
      <c r="P357" s="27" t="str">
        <f aca="false">IF(OR(N357="",O357=""),"",O357-N357)</f>
        <v/>
      </c>
      <c r="Q357" s="28" t="str">
        <f aca="false">IF(A357="","",COUNTIF($B$5:$B$500,A357))</f>
        <v/>
      </c>
      <c r="R357" s="29" t="str">
        <f aca="false">IF(A357="","",IF(Q357&gt;0,COUNTIFS($B$5:$B$500,A357,$E$5:$E$500,"Done")/Q357,IF(E357="Done",1,0)))</f>
        <v/>
      </c>
      <c r="S357" s="30" t="str">
        <f aca="true">IF(OR(A357="",E357="Done",J357=""),"",IF(J357&lt;TODAY(),"OVERDUE",IF(J357-TODAY()&lt;=7,"Due this week","")))</f>
        <v/>
      </c>
      <c r="T357" s="25"/>
    </row>
    <row r="358" customFormat="false" ht="15" hidden="false" customHeight="false" outlineLevel="0" collapsed="false">
      <c r="A358" s="24"/>
      <c r="B358" s="24"/>
      <c r="C358" s="9"/>
      <c r="D358" s="25"/>
      <c r="E358" s="9"/>
      <c r="F358" s="24"/>
      <c r="G358" s="9"/>
      <c r="H358" s="9"/>
      <c r="I358" s="26"/>
      <c r="J358" s="26"/>
      <c r="K358" s="26"/>
      <c r="L358" s="24"/>
      <c r="M358" s="24"/>
      <c r="N358" s="14"/>
      <c r="O358" s="14"/>
      <c r="P358" s="27" t="str">
        <f aca="false">IF(OR(N358="",O358=""),"",O358-N358)</f>
        <v/>
      </c>
      <c r="Q358" s="28" t="str">
        <f aca="false">IF(A358="","",COUNTIF($B$5:$B$500,A358))</f>
        <v/>
      </c>
      <c r="R358" s="29" t="str">
        <f aca="false">IF(A358="","",IF(Q358&gt;0,COUNTIFS($B$5:$B$500,A358,$E$5:$E$500,"Done")/Q358,IF(E358="Done",1,0)))</f>
        <v/>
      </c>
      <c r="S358" s="30" t="str">
        <f aca="true">IF(OR(A358="",E358="Done",J358=""),"",IF(J358&lt;TODAY(),"OVERDUE",IF(J358-TODAY()&lt;=7,"Due this week","")))</f>
        <v/>
      </c>
      <c r="T358" s="25"/>
    </row>
    <row r="359" customFormat="false" ht="15" hidden="false" customHeight="false" outlineLevel="0" collapsed="false">
      <c r="A359" s="24"/>
      <c r="B359" s="24"/>
      <c r="C359" s="9"/>
      <c r="D359" s="25"/>
      <c r="E359" s="9"/>
      <c r="F359" s="24"/>
      <c r="G359" s="9"/>
      <c r="H359" s="9"/>
      <c r="I359" s="26"/>
      <c r="J359" s="26"/>
      <c r="K359" s="26"/>
      <c r="L359" s="24"/>
      <c r="M359" s="24"/>
      <c r="N359" s="14"/>
      <c r="O359" s="14"/>
      <c r="P359" s="27" t="str">
        <f aca="false">IF(OR(N359="",O359=""),"",O359-N359)</f>
        <v/>
      </c>
      <c r="Q359" s="28" t="str">
        <f aca="false">IF(A359="","",COUNTIF($B$5:$B$500,A359))</f>
        <v/>
      </c>
      <c r="R359" s="29" t="str">
        <f aca="false">IF(A359="","",IF(Q359&gt;0,COUNTIFS($B$5:$B$500,A359,$E$5:$E$500,"Done")/Q359,IF(E359="Done",1,0)))</f>
        <v/>
      </c>
      <c r="S359" s="30" t="str">
        <f aca="true">IF(OR(A359="",E359="Done",J359=""),"",IF(J359&lt;TODAY(),"OVERDUE",IF(J359-TODAY()&lt;=7,"Due this week","")))</f>
        <v/>
      </c>
      <c r="T359" s="25"/>
    </row>
    <row r="360" customFormat="false" ht="15" hidden="false" customHeight="false" outlineLevel="0" collapsed="false">
      <c r="A360" s="24"/>
      <c r="B360" s="24"/>
      <c r="C360" s="9"/>
      <c r="D360" s="25"/>
      <c r="E360" s="9"/>
      <c r="F360" s="24"/>
      <c r="G360" s="9"/>
      <c r="H360" s="9"/>
      <c r="I360" s="26"/>
      <c r="J360" s="26"/>
      <c r="K360" s="26"/>
      <c r="L360" s="24"/>
      <c r="M360" s="24"/>
      <c r="N360" s="14"/>
      <c r="O360" s="14"/>
      <c r="P360" s="27" t="str">
        <f aca="false">IF(OR(N360="",O360=""),"",O360-N360)</f>
        <v/>
      </c>
      <c r="Q360" s="28" t="str">
        <f aca="false">IF(A360="","",COUNTIF($B$5:$B$500,A360))</f>
        <v/>
      </c>
      <c r="R360" s="29" t="str">
        <f aca="false">IF(A360="","",IF(Q360&gt;0,COUNTIFS($B$5:$B$500,A360,$E$5:$E$500,"Done")/Q360,IF(E360="Done",1,0)))</f>
        <v/>
      </c>
      <c r="S360" s="30" t="str">
        <f aca="true">IF(OR(A360="",E360="Done",J360=""),"",IF(J360&lt;TODAY(),"OVERDUE",IF(J360-TODAY()&lt;=7,"Due this week","")))</f>
        <v/>
      </c>
      <c r="T360" s="25"/>
    </row>
    <row r="361" customFormat="false" ht="15" hidden="false" customHeight="false" outlineLevel="0" collapsed="false">
      <c r="A361" s="24"/>
      <c r="B361" s="24"/>
      <c r="C361" s="9"/>
      <c r="D361" s="25"/>
      <c r="E361" s="9"/>
      <c r="F361" s="24"/>
      <c r="G361" s="9"/>
      <c r="H361" s="9"/>
      <c r="I361" s="26"/>
      <c r="J361" s="26"/>
      <c r="K361" s="26"/>
      <c r="L361" s="24"/>
      <c r="M361" s="24"/>
      <c r="N361" s="14"/>
      <c r="O361" s="14"/>
      <c r="P361" s="27" t="str">
        <f aca="false">IF(OR(N361="",O361=""),"",O361-N361)</f>
        <v/>
      </c>
      <c r="Q361" s="28" t="str">
        <f aca="false">IF(A361="","",COUNTIF($B$5:$B$500,A361))</f>
        <v/>
      </c>
      <c r="R361" s="29" t="str">
        <f aca="false">IF(A361="","",IF(Q361&gt;0,COUNTIFS($B$5:$B$500,A361,$E$5:$E$500,"Done")/Q361,IF(E361="Done",1,0)))</f>
        <v/>
      </c>
      <c r="S361" s="30" t="str">
        <f aca="true">IF(OR(A361="",E361="Done",J361=""),"",IF(J361&lt;TODAY(),"OVERDUE",IF(J361-TODAY()&lt;=7,"Due this week","")))</f>
        <v/>
      </c>
      <c r="T361" s="25"/>
    </row>
    <row r="362" customFormat="false" ht="15" hidden="false" customHeight="false" outlineLevel="0" collapsed="false">
      <c r="A362" s="24"/>
      <c r="B362" s="24"/>
      <c r="C362" s="9"/>
      <c r="D362" s="25"/>
      <c r="E362" s="9"/>
      <c r="F362" s="24"/>
      <c r="G362" s="9"/>
      <c r="H362" s="9"/>
      <c r="I362" s="26"/>
      <c r="J362" s="26"/>
      <c r="K362" s="26"/>
      <c r="L362" s="24"/>
      <c r="M362" s="24"/>
      <c r="N362" s="14"/>
      <c r="O362" s="14"/>
      <c r="P362" s="27" t="str">
        <f aca="false">IF(OR(N362="",O362=""),"",O362-N362)</f>
        <v/>
      </c>
      <c r="Q362" s="28" t="str">
        <f aca="false">IF(A362="","",COUNTIF($B$5:$B$500,A362))</f>
        <v/>
      </c>
      <c r="R362" s="29" t="str">
        <f aca="false">IF(A362="","",IF(Q362&gt;0,COUNTIFS($B$5:$B$500,A362,$E$5:$E$500,"Done")/Q362,IF(E362="Done",1,0)))</f>
        <v/>
      </c>
      <c r="S362" s="30" t="str">
        <f aca="true">IF(OR(A362="",E362="Done",J362=""),"",IF(J362&lt;TODAY(),"OVERDUE",IF(J362-TODAY()&lt;=7,"Due this week","")))</f>
        <v/>
      </c>
      <c r="T362" s="25"/>
    </row>
    <row r="363" customFormat="false" ht="15" hidden="false" customHeight="false" outlineLevel="0" collapsed="false">
      <c r="A363" s="24"/>
      <c r="B363" s="24"/>
      <c r="C363" s="9"/>
      <c r="D363" s="25"/>
      <c r="E363" s="9"/>
      <c r="F363" s="24"/>
      <c r="G363" s="9"/>
      <c r="H363" s="9"/>
      <c r="I363" s="26"/>
      <c r="J363" s="26"/>
      <c r="K363" s="26"/>
      <c r="L363" s="24"/>
      <c r="M363" s="24"/>
      <c r="N363" s="14"/>
      <c r="O363" s="14"/>
      <c r="P363" s="27" t="str">
        <f aca="false">IF(OR(N363="",O363=""),"",O363-N363)</f>
        <v/>
      </c>
      <c r="Q363" s="28" t="str">
        <f aca="false">IF(A363="","",COUNTIF($B$5:$B$500,A363))</f>
        <v/>
      </c>
      <c r="R363" s="29" t="str">
        <f aca="false">IF(A363="","",IF(Q363&gt;0,COUNTIFS($B$5:$B$500,A363,$E$5:$E$500,"Done")/Q363,IF(E363="Done",1,0)))</f>
        <v/>
      </c>
      <c r="S363" s="30" t="str">
        <f aca="true">IF(OR(A363="",E363="Done",J363=""),"",IF(J363&lt;TODAY(),"OVERDUE",IF(J363-TODAY()&lt;=7,"Due this week","")))</f>
        <v/>
      </c>
      <c r="T363" s="25"/>
    </row>
    <row r="364" customFormat="false" ht="15" hidden="false" customHeight="false" outlineLevel="0" collapsed="false">
      <c r="A364" s="24"/>
      <c r="B364" s="24"/>
      <c r="C364" s="9"/>
      <c r="D364" s="25"/>
      <c r="E364" s="9"/>
      <c r="F364" s="24"/>
      <c r="G364" s="9"/>
      <c r="H364" s="9"/>
      <c r="I364" s="26"/>
      <c r="J364" s="26"/>
      <c r="K364" s="26"/>
      <c r="L364" s="24"/>
      <c r="M364" s="24"/>
      <c r="N364" s="14"/>
      <c r="O364" s="14"/>
      <c r="P364" s="27" t="str">
        <f aca="false">IF(OR(N364="",O364=""),"",O364-N364)</f>
        <v/>
      </c>
      <c r="Q364" s="28" t="str">
        <f aca="false">IF(A364="","",COUNTIF($B$5:$B$500,A364))</f>
        <v/>
      </c>
      <c r="R364" s="29" t="str">
        <f aca="false">IF(A364="","",IF(Q364&gt;0,COUNTIFS($B$5:$B$500,A364,$E$5:$E$500,"Done")/Q364,IF(E364="Done",1,0)))</f>
        <v/>
      </c>
      <c r="S364" s="30" t="str">
        <f aca="true">IF(OR(A364="",E364="Done",J364=""),"",IF(J364&lt;TODAY(),"OVERDUE",IF(J364-TODAY()&lt;=7,"Due this week","")))</f>
        <v/>
      </c>
      <c r="T364" s="25"/>
    </row>
    <row r="365" customFormat="false" ht="15" hidden="false" customHeight="false" outlineLevel="0" collapsed="false">
      <c r="A365" s="24"/>
      <c r="B365" s="24"/>
      <c r="C365" s="9"/>
      <c r="D365" s="25"/>
      <c r="E365" s="9"/>
      <c r="F365" s="24"/>
      <c r="G365" s="9"/>
      <c r="H365" s="9"/>
      <c r="I365" s="26"/>
      <c r="J365" s="26"/>
      <c r="K365" s="26"/>
      <c r="L365" s="24"/>
      <c r="M365" s="24"/>
      <c r="N365" s="14"/>
      <c r="O365" s="14"/>
      <c r="P365" s="27" t="str">
        <f aca="false">IF(OR(N365="",O365=""),"",O365-N365)</f>
        <v/>
      </c>
      <c r="Q365" s="28" t="str">
        <f aca="false">IF(A365="","",COUNTIF($B$5:$B$500,A365))</f>
        <v/>
      </c>
      <c r="R365" s="29" t="str">
        <f aca="false">IF(A365="","",IF(Q365&gt;0,COUNTIFS($B$5:$B$500,A365,$E$5:$E$500,"Done")/Q365,IF(E365="Done",1,0)))</f>
        <v/>
      </c>
      <c r="S365" s="30" t="str">
        <f aca="true">IF(OR(A365="",E365="Done",J365=""),"",IF(J365&lt;TODAY(),"OVERDUE",IF(J365-TODAY()&lt;=7,"Due this week","")))</f>
        <v/>
      </c>
      <c r="T365" s="25"/>
    </row>
    <row r="366" customFormat="false" ht="15" hidden="false" customHeight="false" outlineLevel="0" collapsed="false">
      <c r="A366" s="24"/>
      <c r="B366" s="24"/>
      <c r="C366" s="9"/>
      <c r="D366" s="25"/>
      <c r="E366" s="9"/>
      <c r="F366" s="24"/>
      <c r="G366" s="9"/>
      <c r="H366" s="9"/>
      <c r="I366" s="26"/>
      <c r="J366" s="26"/>
      <c r="K366" s="26"/>
      <c r="L366" s="24"/>
      <c r="M366" s="24"/>
      <c r="N366" s="14"/>
      <c r="O366" s="14"/>
      <c r="P366" s="27" t="str">
        <f aca="false">IF(OR(N366="",O366=""),"",O366-N366)</f>
        <v/>
      </c>
      <c r="Q366" s="28" t="str">
        <f aca="false">IF(A366="","",COUNTIF($B$5:$B$500,A366))</f>
        <v/>
      </c>
      <c r="R366" s="29" t="str">
        <f aca="false">IF(A366="","",IF(Q366&gt;0,COUNTIFS($B$5:$B$500,A366,$E$5:$E$500,"Done")/Q366,IF(E366="Done",1,0)))</f>
        <v/>
      </c>
      <c r="S366" s="30" t="str">
        <f aca="true">IF(OR(A366="",E366="Done",J366=""),"",IF(J366&lt;TODAY(),"OVERDUE",IF(J366-TODAY()&lt;=7,"Due this week","")))</f>
        <v/>
      </c>
      <c r="T366" s="25"/>
    </row>
    <row r="367" customFormat="false" ht="15" hidden="false" customHeight="false" outlineLevel="0" collapsed="false">
      <c r="A367" s="24"/>
      <c r="B367" s="24"/>
      <c r="C367" s="9"/>
      <c r="D367" s="25"/>
      <c r="E367" s="9"/>
      <c r="F367" s="24"/>
      <c r="G367" s="9"/>
      <c r="H367" s="9"/>
      <c r="I367" s="26"/>
      <c r="J367" s="26"/>
      <c r="K367" s="26"/>
      <c r="L367" s="24"/>
      <c r="M367" s="24"/>
      <c r="N367" s="14"/>
      <c r="O367" s="14"/>
      <c r="P367" s="27" t="str">
        <f aca="false">IF(OR(N367="",O367=""),"",O367-N367)</f>
        <v/>
      </c>
      <c r="Q367" s="28" t="str">
        <f aca="false">IF(A367="","",COUNTIF($B$5:$B$500,A367))</f>
        <v/>
      </c>
      <c r="R367" s="29" t="str">
        <f aca="false">IF(A367="","",IF(Q367&gt;0,COUNTIFS($B$5:$B$500,A367,$E$5:$E$500,"Done")/Q367,IF(E367="Done",1,0)))</f>
        <v/>
      </c>
      <c r="S367" s="30" t="str">
        <f aca="true">IF(OR(A367="",E367="Done",J367=""),"",IF(J367&lt;TODAY(),"OVERDUE",IF(J367-TODAY()&lt;=7,"Due this week","")))</f>
        <v/>
      </c>
      <c r="T367" s="25"/>
    </row>
    <row r="368" customFormat="false" ht="15" hidden="false" customHeight="false" outlineLevel="0" collapsed="false">
      <c r="A368" s="24"/>
      <c r="B368" s="24"/>
      <c r="C368" s="9"/>
      <c r="D368" s="25"/>
      <c r="E368" s="9"/>
      <c r="F368" s="24"/>
      <c r="G368" s="9"/>
      <c r="H368" s="9"/>
      <c r="I368" s="26"/>
      <c r="J368" s="26"/>
      <c r="K368" s="26"/>
      <c r="L368" s="24"/>
      <c r="M368" s="24"/>
      <c r="N368" s="14"/>
      <c r="O368" s="14"/>
      <c r="P368" s="27" t="str">
        <f aca="false">IF(OR(N368="",O368=""),"",O368-N368)</f>
        <v/>
      </c>
      <c r="Q368" s="28" t="str">
        <f aca="false">IF(A368="","",COUNTIF($B$5:$B$500,A368))</f>
        <v/>
      </c>
      <c r="R368" s="29" t="str">
        <f aca="false">IF(A368="","",IF(Q368&gt;0,COUNTIFS($B$5:$B$500,A368,$E$5:$E$500,"Done")/Q368,IF(E368="Done",1,0)))</f>
        <v/>
      </c>
      <c r="S368" s="30" t="str">
        <f aca="true">IF(OR(A368="",E368="Done",J368=""),"",IF(J368&lt;TODAY(),"OVERDUE",IF(J368-TODAY()&lt;=7,"Due this week","")))</f>
        <v/>
      </c>
      <c r="T368" s="25"/>
    </row>
    <row r="369" customFormat="false" ht="15" hidden="false" customHeight="false" outlineLevel="0" collapsed="false">
      <c r="A369" s="24"/>
      <c r="B369" s="24"/>
      <c r="C369" s="9"/>
      <c r="D369" s="25"/>
      <c r="E369" s="9"/>
      <c r="F369" s="24"/>
      <c r="G369" s="9"/>
      <c r="H369" s="9"/>
      <c r="I369" s="26"/>
      <c r="J369" s="26"/>
      <c r="K369" s="26"/>
      <c r="L369" s="24"/>
      <c r="M369" s="24"/>
      <c r="N369" s="14"/>
      <c r="O369" s="14"/>
      <c r="P369" s="27" t="str">
        <f aca="false">IF(OR(N369="",O369=""),"",O369-N369)</f>
        <v/>
      </c>
      <c r="Q369" s="28" t="str">
        <f aca="false">IF(A369="","",COUNTIF($B$5:$B$500,A369))</f>
        <v/>
      </c>
      <c r="R369" s="29" t="str">
        <f aca="false">IF(A369="","",IF(Q369&gt;0,COUNTIFS($B$5:$B$500,A369,$E$5:$E$500,"Done")/Q369,IF(E369="Done",1,0)))</f>
        <v/>
      </c>
      <c r="S369" s="30" t="str">
        <f aca="true">IF(OR(A369="",E369="Done",J369=""),"",IF(J369&lt;TODAY(),"OVERDUE",IF(J369-TODAY()&lt;=7,"Due this week","")))</f>
        <v/>
      </c>
      <c r="T369" s="25"/>
    </row>
    <row r="370" customFormat="false" ht="15" hidden="false" customHeight="false" outlineLevel="0" collapsed="false">
      <c r="A370" s="24"/>
      <c r="B370" s="24"/>
      <c r="C370" s="9"/>
      <c r="D370" s="25"/>
      <c r="E370" s="9"/>
      <c r="F370" s="24"/>
      <c r="G370" s="9"/>
      <c r="H370" s="9"/>
      <c r="I370" s="26"/>
      <c r="J370" s="26"/>
      <c r="K370" s="26"/>
      <c r="L370" s="24"/>
      <c r="M370" s="24"/>
      <c r="N370" s="14"/>
      <c r="O370" s="14"/>
      <c r="P370" s="27" t="str">
        <f aca="false">IF(OR(N370="",O370=""),"",O370-N370)</f>
        <v/>
      </c>
      <c r="Q370" s="28" t="str">
        <f aca="false">IF(A370="","",COUNTIF($B$5:$B$500,A370))</f>
        <v/>
      </c>
      <c r="R370" s="29" t="str">
        <f aca="false">IF(A370="","",IF(Q370&gt;0,COUNTIFS($B$5:$B$500,A370,$E$5:$E$500,"Done")/Q370,IF(E370="Done",1,0)))</f>
        <v/>
      </c>
      <c r="S370" s="30" t="str">
        <f aca="true">IF(OR(A370="",E370="Done",J370=""),"",IF(J370&lt;TODAY(),"OVERDUE",IF(J370-TODAY()&lt;=7,"Due this week","")))</f>
        <v/>
      </c>
      <c r="T370" s="25"/>
    </row>
    <row r="371" customFormat="false" ht="15" hidden="false" customHeight="false" outlineLevel="0" collapsed="false">
      <c r="A371" s="24"/>
      <c r="B371" s="24"/>
      <c r="C371" s="9"/>
      <c r="D371" s="25"/>
      <c r="E371" s="9"/>
      <c r="F371" s="24"/>
      <c r="G371" s="9"/>
      <c r="H371" s="9"/>
      <c r="I371" s="26"/>
      <c r="J371" s="26"/>
      <c r="K371" s="26"/>
      <c r="L371" s="24"/>
      <c r="M371" s="24"/>
      <c r="N371" s="14"/>
      <c r="O371" s="14"/>
      <c r="P371" s="27" t="str">
        <f aca="false">IF(OR(N371="",O371=""),"",O371-N371)</f>
        <v/>
      </c>
      <c r="Q371" s="28" t="str">
        <f aca="false">IF(A371="","",COUNTIF($B$5:$B$500,A371))</f>
        <v/>
      </c>
      <c r="R371" s="29" t="str">
        <f aca="false">IF(A371="","",IF(Q371&gt;0,COUNTIFS($B$5:$B$500,A371,$E$5:$E$500,"Done")/Q371,IF(E371="Done",1,0)))</f>
        <v/>
      </c>
      <c r="S371" s="30" t="str">
        <f aca="true">IF(OR(A371="",E371="Done",J371=""),"",IF(J371&lt;TODAY(),"OVERDUE",IF(J371-TODAY()&lt;=7,"Due this week","")))</f>
        <v/>
      </c>
      <c r="T371" s="25"/>
    </row>
    <row r="372" customFormat="false" ht="15" hidden="false" customHeight="false" outlineLevel="0" collapsed="false">
      <c r="A372" s="24"/>
      <c r="B372" s="24"/>
      <c r="C372" s="9"/>
      <c r="D372" s="25"/>
      <c r="E372" s="9"/>
      <c r="F372" s="24"/>
      <c r="G372" s="9"/>
      <c r="H372" s="9"/>
      <c r="I372" s="26"/>
      <c r="J372" s="26"/>
      <c r="K372" s="26"/>
      <c r="L372" s="24"/>
      <c r="M372" s="24"/>
      <c r="N372" s="14"/>
      <c r="O372" s="14"/>
      <c r="P372" s="27" t="str">
        <f aca="false">IF(OR(N372="",O372=""),"",O372-N372)</f>
        <v/>
      </c>
      <c r="Q372" s="28" t="str">
        <f aca="false">IF(A372="","",COUNTIF($B$5:$B$500,A372))</f>
        <v/>
      </c>
      <c r="R372" s="29" t="str">
        <f aca="false">IF(A372="","",IF(Q372&gt;0,COUNTIFS($B$5:$B$500,A372,$E$5:$E$500,"Done")/Q372,IF(E372="Done",1,0)))</f>
        <v/>
      </c>
      <c r="S372" s="30" t="str">
        <f aca="true">IF(OR(A372="",E372="Done",J372=""),"",IF(J372&lt;TODAY(),"OVERDUE",IF(J372-TODAY()&lt;=7,"Due this week","")))</f>
        <v/>
      </c>
      <c r="T372" s="25"/>
    </row>
    <row r="373" customFormat="false" ht="15" hidden="false" customHeight="false" outlineLevel="0" collapsed="false">
      <c r="A373" s="24"/>
      <c r="B373" s="24"/>
      <c r="C373" s="9"/>
      <c r="D373" s="25"/>
      <c r="E373" s="9"/>
      <c r="F373" s="24"/>
      <c r="G373" s="9"/>
      <c r="H373" s="9"/>
      <c r="I373" s="26"/>
      <c r="J373" s="26"/>
      <c r="K373" s="26"/>
      <c r="L373" s="24"/>
      <c r="M373" s="24"/>
      <c r="N373" s="14"/>
      <c r="O373" s="14"/>
      <c r="P373" s="27" t="str">
        <f aca="false">IF(OR(N373="",O373=""),"",O373-N373)</f>
        <v/>
      </c>
      <c r="Q373" s="28" t="str">
        <f aca="false">IF(A373="","",COUNTIF($B$5:$B$500,A373))</f>
        <v/>
      </c>
      <c r="R373" s="29" t="str">
        <f aca="false">IF(A373="","",IF(Q373&gt;0,COUNTIFS($B$5:$B$500,A373,$E$5:$E$500,"Done")/Q373,IF(E373="Done",1,0)))</f>
        <v/>
      </c>
      <c r="S373" s="30" t="str">
        <f aca="true">IF(OR(A373="",E373="Done",J373=""),"",IF(J373&lt;TODAY(),"OVERDUE",IF(J373-TODAY()&lt;=7,"Due this week","")))</f>
        <v/>
      </c>
      <c r="T373" s="25"/>
    </row>
    <row r="374" customFormat="false" ht="15" hidden="false" customHeight="false" outlineLevel="0" collapsed="false">
      <c r="A374" s="24"/>
      <c r="B374" s="24"/>
      <c r="C374" s="9"/>
      <c r="D374" s="25"/>
      <c r="E374" s="9"/>
      <c r="F374" s="24"/>
      <c r="G374" s="9"/>
      <c r="H374" s="9"/>
      <c r="I374" s="26"/>
      <c r="J374" s="26"/>
      <c r="K374" s="26"/>
      <c r="L374" s="24"/>
      <c r="M374" s="24"/>
      <c r="N374" s="14"/>
      <c r="O374" s="14"/>
      <c r="P374" s="27" t="str">
        <f aca="false">IF(OR(N374="",O374=""),"",O374-N374)</f>
        <v/>
      </c>
      <c r="Q374" s="28" t="str">
        <f aca="false">IF(A374="","",COUNTIF($B$5:$B$500,A374))</f>
        <v/>
      </c>
      <c r="R374" s="29" t="str">
        <f aca="false">IF(A374="","",IF(Q374&gt;0,COUNTIFS($B$5:$B$500,A374,$E$5:$E$500,"Done")/Q374,IF(E374="Done",1,0)))</f>
        <v/>
      </c>
      <c r="S374" s="30" t="str">
        <f aca="true">IF(OR(A374="",E374="Done",J374=""),"",IF(J374&lt;TODAY(),"OVERDUE",IF(J374-TODAY()&lt;=7,"Due this week","")))</f>
        <v/>
      </c>
      <c r="T374" s="25"/>
    </row>
    <row r="375" customFormat="false" ht="15" hidden="false" customHeight="false" outlineLevel="0" collapsed="false">
      <c r="A375" s="24"/>
      <c r="B375" s="24"/>
      <c r="C375" s="9"/>
      <c r="D375" s="25"/>
      <c r="E375" s="9"/>
      <c r="F375" s="24"/>
      <c r="G375" s="9"/>
      <c r="H375" s="9"/>
      <c r="I375" s="26"/>
      <c r="J375" s="26"/>
      <c r="K375" s="26"/>
      <c r="L375" s="24"/>
      <c r="M375" s="24"/>
      <c r="N375" s="14"/>
      <c r="O375" s="14"/>
      <c r="P375" s="27" t="str">
        <f aca="false">IF(OR(N375="",O375=""),"",O375-N375)</f>
        <v/>
      </c>
      <c r="Q375" s="28" t="str">
        <f aca="false">IF(A375="","",COUNTIF($B$5:$B$500,A375))</f>
        <v/>
      </c>
      <c r="R375" s="29" t="str">
        <f aca="false">IF(A375="","",IF(Q375&gt;0,COUNTIFS($B$5:$B$500,A375,$E$5:$E$500,"Done")/Q375,IF(E375="Done",1,0)))</f>
        <v/>
      </c>
      <c r="S375" s="30" t="str">
        <f aca="true">IF(OR(A375="",E375="Done",J375=""),"",IF(J375&lt;TODAY(),"OVERDUE",IF(J375-TODAY()&lt;=7,"Due this week","")))</f>
        <v/>
      </c>
      <c r="T375" s="25"/>
    </row>
    <row r="376" customFormat="false" ht="15" hidden="false" customHeight="false" outlineLevel="0" collapsed="false">
      <c r="A376" s="24"/>
      <c r="B376" s="24"/>
      <c r="C376" s="9"/>
      <c r="D376" s="25"/>
      <c r="E376" s="9"/>
      <c r="F376" s="24"/>
      <c r="G376" s="9"/>
      <c r="H376" s="9"/>
      <c r="I376" s="26"/>
      <c r="J376" s="26"/>
      <c r="K376" s="26"/>
      <c r="L376" s="24"/>
      <c r="M376" s="24"/>
      <c r="N376" s="14"/>
      <c r="O376" s="14"/>
      <c r="P376" s="27" t="str">
        <f aca="false">IF(OR(N376="",O376=""),"",O376-N376)</f>
        <v/>
      </c>
      <c r="Q376" s="28" t="str">
        <f aca="false">IF(A376="","",COUNTIF($B$5:$B$500,A376))</f>
        <v/>
      </c>
      <c r="R376" s="29" t="str">
        <f aca="false">IF(A376="","",IF(Q376&gt;0,COUNTIFS($B$5:$B$500,A376,$E$5:$E$500,"Done")/Q376,IF(E376="Done",1,0)))</f>
        <v/>
      </c>
      <c r="S376" s="30" t="str">
        <f aca="true">IF(OR(A376="",E376="Done",J376=""),"",IF(J376&lt;TODAY(),"OVERDUE",IF(J376-TODAY()&lt;=7,"Due this week","")))</f>
        <v/>
      </c>
      <c r="T376" s="25"/>
    </row>
    <row r="377" customFormat="false" ht="15" hidden="false" customHeight="false" outlineLevel="0" collapsed="false">
      <c r="A377" s="24"/>
      <c r="B377" s="24"/>
      <c r="C377" s="9"/>
      <c r="D377" s="25"/>
      <c r="E377" s="9"/>
      <c r="F377" s="24"/>
      <c r="G377" s="9"/>
      <c r="H377" s="9"/>
      <c r="I377" s="26"/>
      <c r="J377" s="26"/>
      <c r="K377" s="26"/>
      <c r="L377" s="24"/>
      <c r="M377" s="24"/>
      <c r="N377" s="14"/>
      <c r="O377" s="14"/>
      <c r="P377" s="27" t="str">
        <f aca="false">IF(OR(N377="",O377=""),"",O377-N377)</f>
        <v/>
      </c>
      <c r="Q377" s="28" t="str">
        <f aca="false">IF(A377="","",COUNTIF($B$5:$B$500,A377))</f>
        <v/>
      </c>
      <c r="R377" s="29" t="str">
        <f aca="false">IF(A377="","",IF(Q377&gt;0,COUNTIFS($B$5:$B$500,A377,$E$5:$E$500,"Done")/Q377,IF(E377="Done",1,0)))</f>
        <v/>
      </c>
      <c r="S377" s="30" t="str">
        <f aca="true">IF(OR(A377="",E377="Done",J377=""),"",IF(J377&lt;TODAY(),"OVERDUE",IF(J377-TODAY()&lt;=7,"Due this week","")))</f>
        <v/>
      </c>
      <c r="T377" s="25"/>
    </row>
    <row r="378" customFormat="false" ht="15" hidden="false" customHeight="false" outlineLevel="0" collapsed="false">
      <c r="A378" s="24"/>
      <c r="B378" s="24"/>
      <c r="C378" s="9"/>
      <c r="D378" s="25"/>
      <c r="E378" s="9"/>
      <c r="F378" s="24"/>
      <c r="G378" s="9"/>
      <c r="H378" s="9"/>
      <c r="I378" s="26"/>
      <c r="J378" s="26"/>
      <c r="K378" s="26"/>
      <c r="L378" s="24"/>
      <c r="M378" s="24"/>
      <c r="N378" s="14"/>
      <c r="O378" s="14"/>
      <c r="P378" s="27" t="str">
        <f aca="false">IF(OR(N378="",O378=""),"",O378-N378)</f>
        <v/>
      </c>
      <c r="Q378" s="28" t="str">
        <f aca="false">IF(A378="","",COUNTIF($B$5:$B$500,A378))</f>
        <v/>
      </c>
      <c r="R378" s="29" t="str">
        <f aca="false">IF(A378="","",IF(Q378&gt;0,COUNTIFS($B$5:$B$500,A378,$E$5:$E$500,"Done")/Q378,IF(E378="Done",1,0)))</f>
        <v/>
      </c>
      <c r="S378" s="30" t="str">
        <f aca="true">IF(OR(A378="",E378="Done",J378=""),"",IF(J378&lt;TODAY(),"OVERDUE",IF(J378-TODAY()&lt;=7,"Due this week","")))</f>
        <v/>
      </c>
      <c r="T378" s="25"/>
    </row>
    <row r="379" customFormat="false" ht="15" hidden="false" customHeight="false" outlineLevel="0" collapsed="false">
      <c r="A379" s="24"/>
      <c r="B379" s="24"/>
      <c r="C379" s="9"/>
      <c r="D379" s="25"/>
      <c r="E379" s="9"/>
      <c r="F379" s="24"/>
      <c r="G379" s="9"/>
      <c r="H379" s="9"/>
      <c r="I379" s="26"/>
      <c r="J379" s="26"/>
      <c r="K379" s="26"/>
      <c r="L379" s="24"/>
      <c r="M379" s="24"/>
      <c r="N379" s="14"/>
      <c r="O379" s="14"/>
      <c r="P379" s="27" t="str">
        <f aca="false">IF(OR(N379="",O379=""),"",O379-N379)</f>
        <v/>
      </c>
      <c r="Q379" s="28" t="str">
        <f aca="false">IF(A379="","",COUNTIF($B$5:$B$500,A379))</f>
        <v/>
      </c>
      <c r="R379" s="29" t="str">
        <f aca="false">IF(A379="","",IF(Q379&gt;0,COUNTIFS($B$5:$B$500,A379,$E$5:$E$500,"Done")/Q379,IF(E379="Done",1,0)))</f>
        <v/>
      </c>
      <c r="S379" s="30" t="str">
        <f aca="true">IF(OR(A379="",E379="Done",J379=""),"",IF(J379&lt;TODAY(),"OVERDUE",IF(J379-TODAY()&lt;=7,"Due this week","")))</f>
        <v/>
      </c>
      <c r="T379" s="25"/>
    </row>
    <row r="380" customFormat="false" ht="15" hidden="false" customHeight="false" outlineLevel="0" collapsed="false">
      <c r="A380" s="24"/>
      <c r="B380" s="24"/>
      <c r="C380" s="9"/>
      <c r="D380" s="25"/>
      <c r="E380" s="9"/>
      <c r="F380" s="24"/>
      <c r="G380" s="9"/>
      <c r="H380" s="9"/>
      <c r="I380" s="26"/>
      <c r="J380" s="26"/>
      <c r="K380" s="26"/>
      <c r="L380" s="24"/>
      <c r="M380" s="24"/>
      <c r="N380" s="14"/>
      <c r="O380" s="14"/>
      <c r="P380" s="27" t="str">
        <f aca="false">IF(OR(N380="",O380=""),"",O380-N380)</f>
        <v/>
      </c>
      <c r="Q380" s="28" t="str">
        <f aca="false">IF(A380="","",COUNTIF($B$5:$B$500,A380))</f>
        <v/>
      </c>
      <c r="R380" s="29" t="str">
        <f aca="false">IF(A380="","",IF(Q380&gt;0,COUNTIFS($B$5:$B$500,A380,$E$5:$E$500,"Done")/Q380,IF(E380="Done",1,0)))</f>
        <v/>
      </c>
      <c r="S380" s="30" t="str">
        <f aca="true">IF(OR(A380="",E380="Done",J380=""),"",IF(J380&lt;TODAY(),"OVERDUE",IF(J380-TODAY()&lt;=7,"Due this week","")))</f>
        <v/>
      </c>
      <c r="T380" s="25"/>
    </row>
    <row r="381" customFormat="false" ht="15" hidden="false" customHeight="false" outlineLevel="0" collapsed="false">
      <c r="A381" s="24"/>
      <c r="B381" s="24"/>
      <c r="C381" s="9"/>
      <c r="D381" s="25"/>
      <c r="E381" s="9"/>
      <c r="F381" s="24"/>
      <c r="G381" s="9"/>
      <c r="H381" s="9"/>
      <c r="I381" s="26"/>
      <c r="J381" s="26"/>
      <c r="K381" s="26"/>
      <c r="L381" s="24"/>
      <c r="M381" s="24"/>
      <c r="N381" s="14"/>
      <c r="O381" s="14"/>
      <c r="P381" s="27" t="str">
        <f aca="false">IF(OR(N381="",O381=""),"",O381-N381)</f>
        <v/>
      </c>
      <c r="Q381" s="28" t="str">
        <f aca="false">IF(A381="","",COUNTIF($B$5:$B$500,A381))</f>
        <v/>
      </c>
      <c r="R381" s="29" t="str">
        <f aca="false">IF(A381="","",IF(Q381&gt;0,COUNTIFS($B$5:$B$500,A381,$E$5:$E$500,"Done")/Q381,IF(E381="Done",1,0)))</f>
        <v/>
      </c>
      <c r="S381" s="30" t="str">
        <f aca="true">IF(OR(A381="",E381="Done",J381=""),"",IF(J381&lt;TODAY(),"OVERDUE",IF(J381-TODAY()&lt;=7,"Due this week","")))</f>
        <v/>
      </c>
      <c r="T381" s="25"/>
    </row>
    <row r="382" customFormat="false" ht="15" hidden="false" customHeight="false" outlineLevel="0" collapsed="false">
      <c r="A382" s="24"/>
      <c r="B382" s="24"/>
      <c r="C382" s="9"/>
      <c r="D382" s="25"/>
      <c r="E382" s="9"/>
      <c r="F382" s="24"/>
      <c r="G382" s="9"/>
      <c r="H382" s="9"/>
      <c r="I382" s="26"/>
      <c r="J382" s="26"/>
      <c r="K382" s="26"/>
      <c r="L382" s="24"/>
      <c r="M382" s="24"/>
      <c r="N382" s="14"/>
      <c r="O382" s="14"/>
      <c r="P382" s="27" t="str">
        <f aca="false">IF(OR(N382="",O382=""),"",O382-N382)</f>
        <v/>
      </c>
      <c r="Q382" s="28" t="str">
        <f aca="false">IF(A382="","",COUNTIF($B$5:$B$500,A382))</f>
        <v/>
      </c>
      <c r="R382" s="29" t="str">
        <f aca="false">IF(A382="","",IF(Q382&gt;0,COUNTIFS($B$5:$B$500,A382,$E$5:$E$500,"Done")/Q382,IF(E382="Done",1,0)))</f>
        <v/>
      </c>
      <c r="S382" s="30" t="str">
        <f aca="true">IF(OR(A382="",E382="Done",J382=""),"",IF(J382&lt;TODAY(),"OVERDUE",IF(J382-TODAY()&lt;=7,"Due this week","")))</f>
        <v/>
      </c>
      <c r="T382" s="25"/>
    </row>
    <row r="383" customFormat="false" ht="15" hidden="false" customHeight="false" outlineLevel="0" collapsed="false">
      <c r="A383" s="24"/>
      <c r="B383" s="24"/>
      <c r="C383" s="9"/>
      <c r="D383" s="25"/>
      <c r="E383" s="9"/>
      <c r="F383" s="24"/>
      <c r="G383" s="9"/>
      <c r="H383" s="9"/>
      <c r="I383" s="26"/>
      <c r="J383" s="26"/>
      <c r="K383" s="26"/>
      <c r="L383" s="24"/>
      <c r="M383" s="24"/>
      <c r="N383" s="14"/>
      <c r="O383" s="14"/>
      <c r="P383" s="27" t="str">
        <f aca="false">IF(OR(N383="",O383=""),"",O383-N383)</f>
        <v/>
      </c>
      <c r="Q383" s="28" t="str">
        <f aca="false">IF(A383="","",COUNTIF($B$5:$B$500,A383))</f>
        <v/>
      </c>
      <c r="R383" s="29" t="str">
        <f aca="false">IF(A383="","",IF(Q383&gt;0,COUNTIFS($B$5:$B$500,A383,$E$5:$E$500,"Done")/Q383,IF(E383="Done",1,0)))</f>
        <v/>
      </c>
      <c r="S383" s="30" t="str">
        <f aca="true">IF(OR(A383="",E383="Done",J383=""),"",IF(J383&lt;TODAY(),"OVERDUE",IF(J383-TODAY()&lt;=7,"Due this week","")))</f>
        <v/>
      </c>
      <c r="T383" s="25"/>
    </row>
    <row r="384" customFormat="false" ht="15" hidden="false" customHeight="false" outlineLevel="0" collapsed="false">
      <c r="A384" s="24"/>
      <c r="B384" s="24"/>
      <c r="C384" s="9"/>
      <c r="D384" s="25"/>
      <c r="E384" s="9"/>
      <c r="F384" s="24"/>
      <c r="G384" s="9"/>
      <c r="H384" s="9"/>
      <c r="I384" s="26"/>
      <c r="J384" s="26"/>
      <c r="K384" s="26"/>
      <c r="L384" s="24"/>
      <c r="M384" s="24"/>
      <c r="N384" s="14"/>
      <c r="O384" s="14"/>
      <c r="P384" s="27" t="str">
        <f aca="false">IF(OR(N384="",O384=""),"",O384-N384)</f>
        <v/>
      </c>
      <c r="Q384" s="28" t="str">
        <f aca="false">IF(A384="","",COUNTIF($B$5:$B$500,A384))</f>
        <v/>
      </c>
      <c r="R384" s="29" t="str">
        <f aca="false">IF(A384="","",IF(Q384&gt;0,COUNTIFS($B$5:$B$500,A384,$E$5:$E$500,"Done")/Q384,IF(E384="Done",1,0)))</f>
        <v/>
      </c>
      <c r="S384" s="30" t="str">
        <f aca="true">IF(OR(A384="",E384="Done",J384=""),"",IF(J384&lt;TODAY(),"OVERDUE",IF(J384-TODAY()&lt;=7,"Due this week","")))</f>
        <v/>
      </c>
      <c r="T384" s="25"/>
    </row>
    <row r="385" customFormat="false" ht="15" hidden="false" customHeight="false" outlineLevel="0" collapsed="false">
      <c r="A385" s="24"/>
      <c r="B385" s="24"/>
      <c r="C385" s="9"/>
      <c r="D385" s="25"/>
      <c r="E385" s="9"/>
      <c r="F385" s="24"/>
      <c r="G385" s="9"/>
      <c r="H385" s="9"/>
      <c r="I385" s="26"/>
      <c r="J385" s="26"/>
      <c r="K385" s="26"/>
      <c r="L385" s="24"/>
      <c r="M385" s="24"/>
      <c r="N385" s="14"/>
      <c r="O385" s="14"/>
      <c r="P385" s="27" t="str">
        <f aca="false">IF(OR(N385="",O385=""),"",O385-N385)</f>
        <v/>
      </c>
      <c r="Q385" s="28" t="str">
        <f aca="false">IF(A385="","",COUNTIF($B$5:$B$500,A385))</f>
        <v/>
      </c>
      <c r="R385" s="29" t="str">
        <f aca="false">IF(A385="","",IF(Q385&gt;0,COUNTIFS($B$5:$B$500,A385,$E$5:$E$500,"Done")/Q385,IF(E385="Done",1,0)))</f>
        <v/>
      </c>
      <c r="S385" s="30" t="str">
        <f aca="true">IF(OR(A385="",E385="Done",J385=""),"",IF(J385&lt;TODAY(),"OVERDUE",IF(J385-TODAY()&lt;=7,"Due this week","")))</f>
        <v/>
      </c>
      <c r="T385" s="25"/>
    </row>
    <row r="386" customFormat="false" ht="15" hidden="false" customHeight="false" outlineLevel="0" collapsed="false">
      <c r="A386" s="24"/>
      <c r="B386" s="24"/>
      <c r="C386" s="9"/>
      <c r="D386" s="25"/>
      <c r="E386" s="9"/>
      <c r="F386" s="24"/>
      <c r="G386" s="9"/>
      <c r="H386" s="9"/>
      <c r="I386" s="26"/>
      <c r="J386" s="26"/>
      <c r="K386" s="26"/>
      <c r="L386" s="24"/>
      <c r="M386" s="24"/>
      <c r="N386" s="14"/>
      <c r="O386" s="14"/>
      <c r="P386" s="27" t="str">
        <f aca="false">IF(OR(N386="",O386=""),"",O386-N386)</f>
        <v/>
      </c>
      <c r="Q386" s="28" t="str">
        <f aca="false">IF(A386="","",COUNTIF($B$5:$B$500,A386))</f>
        <v/>
      </c>
      <c r="R386" s="29" t="str">
        <f aca="false">IF(A386="","",IF(Q386&gt;0,COUNTIFS($B$5:$B$500,A386,$E$5:$E$500,"Done")/Q386,IF(E386="Done",1,0)))</f>
        <v/>
      </c>
      <c r="S386" s="30" t="str">
        <f aca="true">IF(OR(A386="",E386="Done",J386=""),"",IF(J386&lt;TODAY(),"OVERDUE",IF(J386-TODAY()&lt;=7,"Due this week","")))</f>
        <v/>
      </c>
      <c r="T386" s="25"/>
    </row>
    <row r="387" customFormat="false" ht="15" hidden="false" customHeight="false" outlineLevel="0" collapsed="false">
      <c r="A387" s="24"/>
      <c r="B387" s="24"/>
      <c r="C387" s="9"/>
      <c r="D387" s="25"/>
      <c r="E387" s="9"/>
      <c r="F387" s="24"/>
      <c r="G387" s="9"/>
      <c r="H387" s="9"/>
      <c r="I387" s="26"/>
      <c r="J387" s="26"/>
      <c r="K387" s="26"/>
      <c r="L387" s="24"/>
      <c r="M387" s="24"/>
      <c r="N387" s="14"/>
      <c r="O387" s="14"/>
      <c r="P387" s="27" t="str">
        <f aca="false">IF(OR(N387="",O387=""),"",O387-N387)</f>
        <v/>
      </c>
      <c r="Q387" s="28" t="str">
        <f aca="false">IF(A387="","",COUNTIF($B$5:$B$500,A387))</f>
        <v/>
      </c>
      <c r="R387" s="29" t="str">
        <f aca="false">IF(A387="","",IF(Q387&gt;0,COUNTIFS($B$5:$B$500,A387,$E$5:$E$500,"Done")/Q387,IF(E387="Done",1,0)))</f>
        <v/>
      </c>
      <c r="S387" s="30" t="str">
        <f aca="true">IF(OR(A387="",E387="Done",J387=""),"",IF(J387&lt;TODAY(),"OVERDUE",IF(J387-TODAY()&lt;=7,"Due this week","")))</f>
        <v/>
      </c>
      <c r="T387" s="25"/>
    </row>
    <row r="388" customFormat="false" ht="15" hidden="false" customHeight="false" outlineLevel="0" collapsed="false">
      <c r="A388" s="24"/>
      <c r="B388" s="24"/>
      <c r="C388" s="9"/>
      <c r="D388" s="25"/>
      <c r="E388" s="9"/>
      <c r="F388" s="24"/>
      <c r="G388" s="9"/>
      <c r="H388" s="9"/>
      <c r="I388" s="26"/>
      <c r="J388" s="26"/>
      <c r="K388" s="26"/>
      <c r="L388" s="24"/>
      <c r="M388" s="24"/>
      <c r="N388" s="14"/>
      <c r="O388" s="14"/>
      <c r="P388" s="27" t="str">
        <f aca="false">IF(OR(N388="",O388=""),"",O388-N388)</f>
        <v/>
      </c>
      <c r="Q388" s="28" t="str">
        <f aca="false">IF(A388="","",COUNTIF($B$5:$B$500,A388))</f>
        <v/>
      </c>
      <c r="R388" s="29" t="str">
        <f aca="false">IF(A388="","",IF(Q388&gt;0,COUNTIFS($B$5:$B$500,A388,$E$5:$E$500,"Done")/Q388,IF(E388="Done",1,0)))</f>
        <v/>
      </c>
      <c r="S388" s="30" t="str">
        <f aca="true">IF(OR(A388="",E388="Done",J388=""),"",IF(J388&lt;TODAY(),"OVERDUE",IF(J388-TODAY()&lt;=7,"Due this week","")))</f>
        <v/>
      </c>
      <c r="T388" s="25"/>
    </row>
    <row r="389" customFormat="false" ht="15" hidden="false" customHeight="false" outlineLevel="0" collapsed="false">
      <c r="A389" s="24"/>
      <c r="B389" s="24"/>
      <c r="C389" s="9"/>
      <c r="D389" s="25"/>
      <c r="E389" s="9"/>
      <c r="F389" s="24"/>
      <c r="G389" s="9"/>
      <c r="H389" s="9"/>
      <c r="I389" s="26"/>
      <c r="J389" s="26"/>
      <c r="K389" s="26"/>
      <c r="L389" s="24"/>
      <c r="M389" s="24"/>
      <c r="N389" s="14"/>
      <c r="O389" s="14"/>
      <c r="P389" s="27" t="str">
        <f aca="false">IF(OR(N389="",O389=""),"",O389-N389)</f>
        <v/>
      </c>
      <c r="Q389" s="28" t="str">
        <f aca="false">IF(A389="","",COUNTIF($B$5:$B$500,A389))</f>
        <v/>
      </c>
      <c r="R389" s="29" t="str">
        <f aca="false">IF(A389="","",IF(Q389&gt;0,COUNTIFS($B$5:$B$500,A389,$E$5:$E$500,"Done")/Q389,IF(E389="Done",1,0)))</f>
        <v/>
      </c>
      <c r="S389" s="30" t="str">
        <f aca="true">IF(OR(A389="",E389="Done",J389=""),"",IF(J389&lt;TODAY(),"OVERDUE",IF(J389-TODAY()&lt;=7,"Due this week","")))</f>
        <v/>
      </c>
      <c r="T389" s="25"/>
    </row>
    <row r="390" customFormat="false" ht="15" hidden="false" customHeight="false" outlineLevel="0" collapsed="false">
      <c r="A390" s="24"/>
      <c r="B390" s="24"/>
      <c r="C390" s="9"/>
      <c r="D390" s="25"/>
      <c r="E390" s="9"/>
      <c r="F390" s="24"/>
      <c r="G390" s="9"/>
      <c r="H390" s="9"/>
      <c r="I390" s="26"/>
      <c r="J390" s="26"/>
      <c r="K390" s="26"/>
      <c r="L390" s="24"/>
      <c r="M390" s="24"/>
      <c r="N390" s="14"/>
      <c r="O390" s="14"/>
      <c r="P390" s="27" t="str">
        <f aca="false">IF(OR(N390="",O390=""),"",O390-N390)</f>
        <v/>
      </c>
      <c r="Q390" s="28" t="str">
        <f aca="false">IF(A390="","",COUNTIF($B$5:$B$500,A390))</f>
        <v/>
      </c>
      <c r="R390" s="29" t="str">
        <f aca="false">IF(A390="","",IF(Q390&gt;0,COUNTIFS($B$5:$B$500,A390,$E$5:$E$500,"Done")/Q390,IF(E390="Done",1,0)))</f>
        <v/>
      </c>
      <c r="S390" s="30" t="str">
        <f aca="true">IF(OR(A390="",E390="Done",J390=""),"",IF(J390&lt;TODAY(),"OVERDUE",IF(J390-TODAY()&lt;=7,"Due this week","")))</f>
        <v/>
      </c>
      <c r="T390" s="25"/>
    </row>
    <row r="391" customFormat="false" ht="15" hidden="false" customHeight="false" outlineLevel="0" collapsed="false">
      <c r="A391" s="24"/>
      <c r="B391" s="24"/>
      <c r="C391" s="9"/>
      <c r="D391" s="25"/>
      <c r="E391" s="9"/>
      <c r="F391" s="24"/>
      <c r="G391" s="9"/>
      <c r="H391" s="9"/>
      <c r="I391" s="26"/>
      <c r="J391" s="26"/>
      <c r="K391" s="26"/>
      <c r="L391" s="24"/>
      <c r="M391" s="24"/>
      <c r="N391" s="14"/>
      <c r="O391" s="14"/>
      <c r="P391" s="27" t="str">
        <f aca="false">IF(OR(N391="",O391=""),"",O391-N391)</f>
        <v/>
      </c>
      <c r="Q391" s="28" t="str">
        <f aca="false">IF(A391="","",COUNTIF($B$5:$B$500,A391))</f>
        <v/>
      </c>
      <c r="R391" s="29" t="str">
        <f aca="false">IF(A391="","",IF(Q391&gt;0,COUNTIFS($B$5:$B$500,A391,$E$5:$E$500,"Done")/Q391,IF(E391="Done",1,0)))</f>
        <v/>
      </c>
      <c r="S391" s="30" t="str">
        <f aca="true">IF(OR(A391="",E391="Done",J391=""),"",IF(J391&lt;TODAY(),"OVERDUE",IF(J391-TODAY()&lt;=7,"Due this week","")))</f>
        <v/>
      </c>
      <c r="T391" s="25"/>
    </row>
    <row r="392" customFormat="false" ht="15" hidden="false" customHeight="false" outlineLevel="0" collapsed="false">
      <c r="A392" s="24"/>
      <c r="B392" s="24"/>
      <c r="C392" s="9"/>
      <c r="D392" s="25"/>
      <c r="E392" s="9"/>
      <c r="F392" s="24"/>
      <c r="G392" s="9"/>
      <c r="H392" s="9"/>
      <c r="I392" s="26"/>
      <c r="J392" s="26"/>
      <c r="K392" s="26"/>
      <c r="L392" s="24"/>
      <c r="M392" s="24"/>
      <c r="N392" s="14"/>
      <c r="O392" s="14"/>
      <c r="P392" s="27" t="str">
        <f aca="false">IF(OR(N392="",O392=""),"",O392-N392)</f>
        <v/>
      </c>
      <c r="Q392" s="28" t="str">
        <f aca="false">IF(A392="","",COUNTIF($B$5:$B$500,A392))</f>
        <v/>
      </c>
      <c r="R392" s="29" t="str">
        <f aca="false">IF(A392="","",IF(Q392&gt;0,COUNTIFS($B$5:$B$500,A392,$E$5:$E$500,"Done")/Q392,IF(E392="Done",1,0)))</f>
        <v/>
      </c>
      <c r="S392" s="30" t="str">
        <f aca="true">IF(OR(A392="",E392="Done",J392=""),"",IF(J392&lt;TODAY(),"OVERDUE",IF(J392-TODAY()&lt;=7,"Due this week","")))</f>
        <v/>
      </c>
      <c r="T392" s="25"/>
    </row>
    <row r="393" customFormat="false" ht="15" hidden="false" customHeight="false" outlineLevel="0" collapsed="false">
      <c r="A393" s="24"/>
      <c r="B393" s="24"/>
      <c r="C393" s="9"/>
      <c r="D393" s="25"/>
      <c r="E393" s="9"/>
      <c r="F393" s="24"/>
      <c r="G393" s="9"/>
      <c r="H393" s="9"/>
      <c r="I393" s="26"/>
      <c r="J393" s="26"/>
      <c r="K393" s="26"/>
      <c r="L393" s="24"/>
      <c r="M393" s="24"/>
      <c r="N393" s="14"/>
      <c r="O393" s="14"/>
      <c r="P393" s="27" t="str">
        <f aca="false">IF(OR(N393="",O393=""),"",O393-N393)</f>
        <v/>
      </c>
      <c r="Q393" s="28" t="str">
        <f aca="false">IF(A393="","",COUNTIF($B$5:$B$500,A393))</f>
        <v/>
      </c>
      <c r="R393" s="29" t="str">
        <f aca="false">IF(A393="","",IF(Q393&gt;0,COUNTIFS($B$5:$B$500,A393,$E$5:$E$500,"Done")/Q393,IF(E393="Done",1,0)))</f>
        <v/>
      </c>
      <c r="S393" s="30" t="str">
        <f aca="true">IF(OR(A393="",E393="Done",J393=""),"",IF(J393&lt;TODAY(),"OVERDUE",IF(J393-TODAY()&lt;=7,"Due this week","")))</f>
        <v/>
      </c>
      <c r="T393" s="25"/>
    </row>
    <row r="394" customFormat="false" ht="15" hidden="false" customHeight="false" outlineLevel="0" collapsed="false">
      <c r="A394" s="24"/>
      <c r="B394" s="24"/>
      <c r="C394" s="9"/>
      <c r="D394" s="25"/>
      <c r="E394" s="9"/>
      <c r="F394" s="24"/>
      <c r="G394" s="9"/>
      <c r="H394" s="9"/>
      <c r="I394" s="26"/>
      <c r="J394" s="26"/>
      <c r="K394" s="26"/>
      <c r="L394" s="24"/>
      <c r="M394" s="24"/>
      <c r="N394" s="14"/>
      <c r="O394" s="14"/>
      <c r="P394" s="27" t="str">
        <f aca="false">IF(OR(N394="",O394=""),"",O394-N394)</f>
        <v/>
      </c>
      <c r="Q394" s="28" t="str">
        <f aca="false">IF(A394="","",COUNTIF($B$5:$B$500,A394))</f>
        <v/>
      </c>
      <c r="R394" s="29" t="str">
        <f aca="false">IF(A394="","",IF(Q394&gt;0,COUNTIFS($B$5:$B$500,A394,$E$5:$E$500,"Done")/Q394,IF(E394="Done",1,0)))</f>
        <v/>
      </c>
      <c r="S394" s="30" t="str">
        <f aca="true">IF(OR(A394="",E394="Done",J394=""),"",IF(J394&lt;TODAY(),"OVERDUE",IF(J394-TODAY()&lt;=7,"Due this week","")))</f>
        <v/>
      </c>
      <c r="T394" s="25"/>
    </row>
    <row r="395" customFormat="false" ht="15" hidden="false" customHeight="false" outlineLevel="0" collapsed="false">
      <c r="A395" s="24"/>
      <c r="B395" s="24"/>
      <c r="C395" s="9"/>
      <c r="D395" s="25"/>
      <c r="E395" s="9"/>
      <c r="F395" s="24"/>
      <c r="G395" s="9"/>
      <c r="H395" s="9"/>
      <c r="I395" s="26"/>
      <c r="J395" s="26"/>
      <c r="K395" s="26"/>
      <c r="L395" s="24"/>
      <c r="M395" s="24"/>
      <c r="N395" s="14"/>
      <c r="O395" s="14"/>
      <c r="P395" s="27" t="str">
        <f aca="false">IF(OR(N395="",O395=""),"",O395-N395)</f>
        <v/>
      </c>
      <c r="Q395" s="28" t="str">
        <f aca="false">IF(A395="","",COUNTIF($B$5:$B$500,A395))</f>
        <v/>
      </c>
      <c r="R395" s="29" t="str">
        <f aca="false">IF(A395="","",IF(Q395&gt;0,COUNTIFS($B$5:$B$500,A395,$E$5:$E$500,"Done")/Q395,IF(E395="Done",1,0)))</f>
        <v/>
      </c>
      <c r="S395" s="30" t="str">
        <f aca="true">IF(OR(A395="",E395="Done",J395=""),"",IF(J395&lt;TODAY(),"OVERDUE",IF(J395-TODAY()&lt;=7,"Due this week","")))</f>
        <v/>
      </c>
      <c r="T395" s="25"/>
    </row>
    <row r="396" customFormat="false" ht="15" hidden="false" customHeight="false" outlineLevel="0" collapsed="false">
      <c r="A396" s="24"/>
      <c r="B396" s="24"/>
      <c r="C396" s="9"/>
      <c r="D396" s="25"/>
      <c r="E396" s="9"/>
      <c r="F396" s="24"/>
      <c r="G396" s="9"/>
      <c r="H396" s="9"/>
      <c r="I396" s="26"/>
      <c r="J396" s="26"/>
      <c r="K396" s="26"/>
      <c r="L396" s="24"/>
      <c r="M396" s="24"/>
      <c r="N396" s="14"/>
      <c r="O396" s="14"/>
      <c r="P396" s="27" t="str">
        <f aca="false">IF(OR(N396="",O396=""),"",O396-N396)</f>
        <v/>
      </c>
      <c r="Q396" s="28" t="str">
        <f aca="false">IF(A396="","",COUNTIF($B$5:$B$500,A396))</f>
        <v/>
      </c>
      <c r="R396" s="29" t="str">
        <f aca="false">IF(A396="","",IF(Q396&gt;0,COUNTIFS($B$5:$B$500,A396,$E$5:$E$500,"Done")/Q396,IF(E396="Done",1,0)))</f>
        <v/>
      </c>
      <c r="S396" s="30" t="str">
        <f aca="true">IF(OR(A396="",E396="Done",J396=""),"",IF(J396&lt;TODAY(),"OVERDUE",IF(J396-TODAY()&lt;=7,"Due this week","")))</f>
        <v/>
      </c>
      <c r="T396" s="25"/>
    </row>
    <row r="397" customFormat="false" ht="15" hidden="false" customHeight="false" outlineLevel="0" collapsed="false">
      <c r="A397" s="24"/>
      <c r="B397" s="24"/>
      <c r="C397" s="9"/>
      <c r="D397" s="25"/>
      <c r="E397" s="9"/>
      <c r="F397" s="24"/>
      <c r="G397" s="9"/>
      <c r="H397" s="9"/>
      <c r="I397" s="26"/>
      <c r="J397" s="26"/>
      <c r="K397" s="26"/>
      <c r="L397" s="24"/>
      <c r="M397" s="24"/>
      <c r="N397" s="14"/>
      <c r="O397" s="14"/>
      <c r="P397" s="27" t="str">
        <f aca="false">IF(OR(N397="",O397=""),"",O397-N397)</f>
        <v/>
      </c>
      <c r="Q397" s="28" t="str">
        <f aca="false">IF(A397="","",COUNTIF($B$5:$B$500,A397))</f>
        <v/>
      </c>
      <c r="R397" s="29" t="str">
        <f aca="false">IF(A397="","",IF(Q397&gt;0,COUNTIFS($B$5:$B$500,A397,$E$5:$E$500,"Done")/Q397,IF(E397="Done",1,0)))</f>
        <v/>
      </c>
      <c r="S397" s="30" t="str">
        <f aca="true">IF(OR(A397="",E397="Done",J397=""),"",IF(J397&lt;TODAY(),"OVERDUE",IF(J397-TODAY()&lt;=7,"Due this week","")))</f>
        <v/>
      </c>
      <c r="T397" s="25"/>
    </row>
    <row r="398" customFormat="false" ht="15" hidden="false" customHeight="false" outlineLevel="0" collapsed="false">
      <c r="A398" s="24"/>
      <c r="B398" s="24"/>
      <c r="C398" s="9"/>
      <c r="D398" s="25"/>
      <c r="E398" s="9"/>
      <c r="F398" s="24"/>
      <c r="G398" s="9"/>
      <c r="H398" s="9"/>
      <c r="I398" s="26"/>
      <c r="J398" s="26"/>
      <c r="K398" s="26"/>
      <c r="L398" s="24"/>
      <c r="M398" s="24"/>
      <c r="N398" s="14"/>
      <c r="O398" s="14"/>
      <c r="P398" s="27" t="str">
        <f aca="false">IF(OR(N398="",O398=""),"",O398-N398)</f>
        <v/>
      </c>
      <c r="Q398" s="28" t="str">
        <f aca="false">IF(A398="","",COUNTIF($B$5:$B$500,A398))</f>
        <v/>
      </c>
      <c r="R398" s="29" t="str">
        <f aca="false">IF(A398="","",IF(Q398&gt;0,COUNTIFS($B$5:$B$500,A398,$E$5:$E$500,"Done")/Q398,IF(E398="Done",1,0)))</f>
        <v/>
      </c>
      <c r="S398" s="30" t="str">
        <f aca="true">IF(OR(A398="",E398="Done",J398=""),"",IF(J398&lt;TODAY(),"OVERDUE",IF(J398-TODAY()&lt;=7,"Due this week","")))</f>
        <v/>
      </c>
      <c r="T398" s="25"/>
    </row>
    <row r="399" customFormat="false" ht="15" hidden="false" customHeight="false" outlineLevel="0" collapsed="false">
      <c r="A399" s="24"/>
      <c r="B399" s="24"/>
      <c r="C399" s="9"/>
      <c r="D399" s="25"/>
      <c r="E399" s="9"/>
      <c r="F399" s="24"/>
      <c r="G399" s="9"/>
      <c r="H399" s="9"/>
      <c r="I399" s="26"/>
      <c r="J399" s="26"/>
      <c r="K399" s="26"/>
      <c r="L399" s="24"/>
      <c r="M399" s="24"/>
      <c r="N399" s="14"/>
      <c r="O399" s="14"/>
      <c r="P399" s="27" t="str">
        <f aca="false">IF(OR(N399="",O399=""),"",O399-N399)</f>
        <v/>
      </c>
      <c r="Q399" s="28" t="str">
        <f aca="false">IF(A399="","",COUNTIF($B$5:$B$500,A399))</f>
        <v/>
      </c>
      <c r="R399" s="29" t="str">
        <f aca="false">IF(A399="","",IF(Q399&gt;0,COUNTIFS($B$5:$B$500,A399,$E$5:$E$500,"Done")/Q399,IF(E399="Done",1,0)))</f>
        <v/>
      </c>
      <c r="S399" s="30" t="str">
        <f aca="true">IF(OR(A399="",E399="Done",J399=""),"",IF(J399&lt;TODAY(),"OVERDUE",IF(J399-TODAY()&lt;=7,"Due this week","")))</f>
        <v/>
      </c>
      <c r="T399" s="25"/>
    </row>
    <row r="400" customFormat="false" ht="15" hidden="false" customHeight="false" outlineLevel="0" collapsed="false">
      <c r="A400" s="24"/>
      <c r="B400" s="24"/>
      <c r="C400" s="9"/>
      <c r="D400" s="25"/>
      <c r="E400" s="9"/>
      <c r="F400" s="24"/>
      <c r="G400" s="9"/>
      <c r="H400" s="9"/>
      <c r="I400" s="26"/>
      <c r="J400" s="26"/>
      <c r="K400" s="26"/>
      <c r="L400" s="24"/>
      <c r="M400" s="24"/>
      <c r="N400" s="14"/>
      <c r="O400" s="14"/>
      <c r="P400" s="27" t="str">
        <f aca="false">IF(OR(N400="",O400=""),"",O400-N400)</f>
        <v/>
      </c>
      <c r="Q400" s="28" t="str">
        <f aca="false">IF(A400="","",COUNTIF($B$5:$B$500,A400))</f>
        <v/>
      </c>
      <c r="R400" s="29" t="str">
        <f aca="false">IF(A400="","",IF(Q400&gt;0,COUNTIFS($B$5:$B$500,A400,$E$5:$E$500,"Done")/Q400,IF(E400="Done",1,0)))</f>
        <v/>
      </c>
      <c r="S400" s="30" t="str">
        <f aca="true">IF(OR(A400="",E400="Done",J400=""),"",IF(J400&lt;TODAY(),"OVERDUE",IF(J400-TODAY()&lt;=7,"Due this week","")))</f>
        <v/>
      </c>
      <c r="T400" s="25"/>
    </row>
    <row r="401" customFormat="false" ht="15" hidden="false" customHeight="false" outlineLevel="0" collapsed="false">
      <c r="A401" s="24"/>
      <c r="B401" s="24"/>
      <c r="C401" s="9"/>
      <c r="D401" s="25"/>
      <c r="E401" s="9"/>
      <c r="F401" s="24"/>
      <c r="G401" s="9"/>
      <c r="H401" s="9"/>
      <c r="I401" s="26"/>
      <c r="J401" s="26"/>
      <c r="K401" s="26"/>
      <c r="L401" s="24"/>
      <c r="M401" s="24"/>
      <c r="N401" s="14"/>
      <c r="O401" s="14"/>
      <c r="P401" s="27" t="str">
        <f aca="false">IF(OR(N401="",O401=""),"",O401-N401)</f>
        <v/>
      </c>
      <c r="Q401" s="28" t="str">
        <f aca="false">IF(A401="","",COUNTIF($B$5:$B$500,A401))</f>
        <v/>
      </c>
      <c r="R401" s="29" t="str">
        <f aca="false">IF(A401="","",IF(Q401&gt;0,COUNTIFS($B$5:$B$500,A401,$E$5:$E$500,"Done")/Q401,IF(E401="Done",1,0)))</f>
        <v/>
      </c>
      <c r="S401" s="30" t="str">
        <f aca="true">IF(OR(A401="",E401="Done",J401=""),"",IF(J401&lt;TODAY(),"OVERDUE",IF(J401-TODAY()&lt;=7,"Due this week","")))</f>
        <v/>
      </c>
      <c r="T401" s="25"/>
    </row>
    <row r="402" customFormat="false" ht="15" hidden="false" customHeight="false" outlineLevel="0" collapsed="false">
      <c r="A402" s="24"/>
      <c r="B402" s="24"/>
      <c r="C402" s="9"/>
      <c r="D402" s="25"/>
      <c r="E402" s="9"/>
      <c r="F402" s="24"/>
      <c r="G402" s="9"/>
      <c r="H402" s="9"/>
      <c r="I402" s="26"/>
      <c r="J402" s="26"/>
      <c r="K402" s="26"/>
      <c r="L402" s="24"/>
      <c r="M402" s="24"/>
      <c r="N402" s="14"/>
      <c r="O402" s="14"/>
      <c r="P402" s="27" t="str">
        <f aca="false">IF(OR(N402="",O402=""),"",O402-N402)</f>
        <v/>
      </c>
      <c r="Q402" s="28" t="str">
        <f aca="false">IF(A402="","",COUNTIF($B$5:$B$500,A402))</f>
        <v/>
      </c>
      <c r="R402" s="29" t="str">
        <f aca="false">IF(A402="","",IF(Q402&gt;0,COUNTIFS($B$5:$B$500,A402,$E$5:$E$500,"Done")/Q402,IF(E402="Done",1,0)))</f>
        <v/>
      </c>
      <c r="S402" s="30" t="str">
        <f aca="true">IF(OR(A402="",E402="Done",J402=""),"",IF(J402&lt;TODAY(),"OVERDUE",IF(J402-TODAY()&lt;=7,"Due this week","")))</f>
        <v/>
      </c>
      <c r="T402" s="25"/>
    </row>
    <row r="403" customFormat="false" ht="15" hidden="false" customHeight="false" outlineLevel="0" collapsed="false">
      <c r="A403" s="24"/>
      <c r="B403" s="24"/>
      <c r="C403" s="9"/>
      <c r="D403" s="25"/>
      <c r="E403" s="9"/>
      <c r="F403" s="24"/>
      <c r="G403" s="9"/>
      <c r="H403" s="9"/>
      <c r="I403" s="26"/>
      <c r="J403" s="26"/>
      <c r="K403" s="26"/>
      <c r="L403" s="24"/>
      <c r="M403" s="24"/>
      <c r="N403" s="14"/>
      <c r="O403" s="14"/>
      <c r="P403" s="27" t="str">
        <f aca="false">IF(OR(N403="",O403=""),"",O403-N403)</f>
        <v/>
      </c>
      <c r="Q403" s="28" t="str">
        <f aca="false">IF(A403="","",COUNTIF($B$5:$B$500,A403))</f>
        <v/>
      </c>
      <c r="R403" s="29" t="str">
        <f aca="false">IF(A403="","",IF(Q403&gt;0,COUNTIFS($B$5:$B$500,A403,$E$5:$E$500,"Done")/Q403,IF(E403="Done",1,0)))</f>
        <v/>
      </c>
      <c r="S403" s="30" t="str">
        <f aca="true">IF(OR(A403="",E403="Done",J403=""),"",IF(J403&lt;TODAY(),"OVERDUE",IF(J403-TODAY()&lt;=7,"Due this week","")))</f>
        <v/>
      </c>
      <c r="T403" s="25"/>
    </row>
    <row r="404" customFormat="false" ht="15" hidden="false" customHeight="false" outlineLevel="0" collapsed="false">
      <c r="A404" s="24"/>
      <c r="B404" s="24"/>
      <c r="C404" s="9"/>
      <c r="D404" s="25"/>
      <c r="E404" s="9"/>
      <c r="F404" s="24"/>
      <c r="G404" s="9"/>
      <c r="H404" s="9"/>
      <c r="I404" s="26"/>
      <c r="J404" s="26"/>
      <c r="K404" s="26"/>
      <c r="L404" s="24"/>
      <c r="M404" s="24"/>
      <c r="N404" s="14"/>
      <c r="O404" s="14"/>
      <c r="P404" s="27" t="str">
        <f aca="false">IF(OR(N404="",O404=""),"",O404-N404)</f>
        <v/>
      </c>
      <c r="Q404" s="28" t="str">
        <f aca="false">IF(A404="","",COUNTIF($B$5:$B$500,A404))</f>
        <v/>
      </c>
      <c r="R404" s="29" t="str">
        <f aca="false">IF(A404="","",IF(Q404&gt;0,COUNTIFS($B$5:$B$500,A404,$E$5:$E$500,"Done")/Q404,IF(E404="Done",1,0)))</f>
        <v/>
      </c>
      <c r="S404" s="30" t="str">
        <f aca="true">IF(OR(A404="",E404="Done",J404=""),"",IF(J404&lt;TODAY(),"OVERDUE",IF(J404-TODAY()&lt;=7,"Due this week","")))</f>
        <v/>
      </c>
      <c r="T404" s="25"/>
    </row>
    <row r="405" customFormat="false" ht="15" hidden="false" customHeight="false" outlineLevel="0" collapsed="false">
      <c r="A405" s="24"/>
      <c r="B405" s="24"/>
      <c r="C405" s="9"/>
      <c r="D405" s="25"/>
      <c r="E405" s="9"/>
      <c r="F405" s="24"/>
      <c r="G405" s="9"/>
      <c r="H405" s="9"/>
      <c r="I405" s="26"/>
      <c r="J405" s="26"/>
      <c r="K405" s="26"/>
      <c r="L405" s="24"/>
      <c r="M405" s="24"/>
      <c r="N405" s="14"/>
      <c r="O405" s="14"/>
      <c r="P405" s="27" t="str">
        <f aca="false">IF(OR(N405="",O405=""),"",O405-N405)</f>
        <v/>
      </c>
      <c r="Q405" s="28" t="str">
        <f aca="false">IF(A405="","",COUNTIF($B$5:$B$500,A405))</f>
        <v/>
      </c>
      <c r="R405" s="29" t="str">
        <f aca="false">IF(A405="","",IF(Q405&gt;0,COUNTIFS($B$5:$B$500,A405,$E$5:$E$500,"Done")/Q405,IF(E405="Done",1,0)))</f>
        <v/>
      </c>
      <c r="S405" s="30" t="str">
        <f aca="true">IF(OR(A405="",E405="Done",J405=""),"",IF(J405&lt;TODAY(),"OVERDUE",IF(J405-TODAY()&lt;=7,"Due this week","")))</f>
        <v/>
      </c>
      <c r="T405" s="25"/>
    </row>
    <row r="406" customFormat="false" ht="15" hidden="false" customHeight="false" outlineLevel="0" collapsed="false">
      <c r="A406" s="24"/>
      <c r="B406" s="24"/>
      <c r="C406" s="9"/>
      <c r="D406" s="25"/>
      <c r="E406" s="9"/>
      <c r="F406" s="24"/>
      <c r="G406" s="9"/>
      <c r="H406" s="9"/>
      <c r="I406" s="26"/>
      <c r="J406" s="26"/>
      <c r="K406" s="26"/>
      <c r="L406" s="24"/>
      <c r="M406" s="24"/>
      <c r="N406" s="14"/>
      <c r="O406" s="14"/>
      <c r="P406" s="27" t="str">
        <f aca="false">IF(OR(N406="",O406=""),"",O406-N406)</f>
        <v/>
      </c>
      <c r="Q406" s="28" t="str">
        <f aca="false">IF(A406="","",COUNTIF($B$5:$B$500,A406))</f>
        <v/>
      </c>
      <c r="R406" s="29" t="str">
        <f aca="false">IF(A406="","",IF(Q406&gt;0,COUNTIFS($B$5:$B$500,A406,$E$5:$E$500,"Done")/Q406,IF(E406="Done",1,0)))</f>
        <v/>
      </c>
      <c r="S406" s="30" t="str">
        <f aca="true">IF(OR(A406="",E406="Done",J406=""),"",IF(J406&lt;TODAY(),"OVERDUE",IF(J406-TODAY()&lt;=7,"Due this week","")))</f>
        <v/>
      </c>
      <c r="T406" s="25"/>
    </row>
    <row r="407" customFormat="false" ht="15" hidden="false" customHeight="false" outlineLevel="0" collapsed="false">
      <c r="A407" s="24"/>
      <c r="B407" s="24"/>
      <c r="C407" s="9"/>
      <c r="D407" s="25"/>
      <c r="E407" s="9"/>
      <c r="F407" s="24"/>
      <c r="G407" s="9"/>
      <c r="H407" s="9"/>
      <c r="I407" s="26"/>
      <c r="J407" s="26"/>
      <c r="K407" s="26"/>
      <c r="L407" s="24"/>
      <c r="M407" s="24"/>
      <c r="N407" s="14"/>
      <c r="O407" s="14"/>
      <c r="P407" s="27" t="str">
        <f aca="false">IF(OR(N407="",O407=""),"",O407-N407)</f>
        <v/>
      </c>
      <c r="Q407" s="28" t="str">
        <f aca="false">IF(A407="","",COUNTIF($B$5:$B$500,A407))</f>
        <v/>
      </c>
      <c r="R407" s="29" t="str">
        <f aca="false">IF(A407="","",IF(Q407&gt;0,COUNTIFS($B$5:$B$500,A407,$E$5:$E$500,"Done")/Q407,IF(E407="Done",1,0)))</f>
        <v/>
      </c>
      <c r="S407" s="30" t="str">
        <f aca="true">IF(OR(A407="",E407="Done",J407=""),"",IF(J407&lt;TODAY(),"OVERDUE",IF(J407-TODAY()&lt;=7,"Due this week","")))</f>
        <v/>
      </c>
      <c r="T407" s="25"/>
    </row>
    <row r="408" customFormat="false" ht="15" hidden="false" customHeight="false" outlineLevel="0" collapsed="false">
      <c r="A408" s="24"/>
      <c r="B408" s="24"/>
      <c r="C408" s="9"/>
      <c r="D408" s="25"/>
      <c r="E408" s="9"/>
      <c r="F408" s="24"/>
      <c r="G408" s="9"/>
      <c r="H408" s="9"/>
      <c r="I408" s="26"/>
      <c r="J408" s="26"/>
      <c r="K408" s="26"/>
      <c r="L408" s="24"/>
      <c r="M408" s="24"/>
      <c r="N408" s="14"/>
      <c r="O408" s="14"/>
      <c r="P408" s="27" t="str">
        <f aca="false">IF(OR(N408="",O408=""),"",O408-N408)</f>
        <v/>
      </c>
      <c r="Q408" s="28" t="str">
        <f aca="false">IF(A408="","",COUNTIF($B$5:$B$500,A408))</f>
        <v/>
      </c>
      <c r="R408" s="29" t="str">
        <f aca="false">IF(A408="","",IF(Q408&gt;0,COUNTIFS($B$5:$B$500,A408,$E$5:$E$500,"Done")/Q408,IF(E408="Done",1,0)))</f>
        <v/>
      </c>
      <c r="S408" s="30" t="str">
        <f aca="true">IF(OR(A408="",E408="Done",J408=""),"",IF(J408&lt;TODAY(),"OVERDUE",IF(J408-TODAY()&lt;=7,"Due this week","")))</f>
        <v/>
      </c>
      <c r="T408" s="25"/>
    </row>
    <row r="409" customFormat="false" ht="15" hidden="false" customHeight="false" outlineLevel="0" collapsed="false">
      <c r="A409" s="24"/>
      <c r="B409" s="24"/>
      <c r="C409" s="9"/>
      <c r="D409" s="25"/>
      <c r="E409" s="9"/>
      <c r="F409" s="24"/>
      <c r="G409" s="9"/>
      <c r="H409" s="9"/>
      <c r="I409" s="26"/>
      <c r="J409" s="26"/>
      <c r="K409" s="26"/>
      <c r="L409" s="24"/>
      <c r="M409" s="24"/>
      <c r="N409" s="14"/>
      <c r="O409" s="14"/>
      <c r="P409" s="27" t="str">
        <f aca="false">IF(OR(N409="",O409=""),"",O409-N409)</f>
        <v/>
      </c>
      <c r="Q409" s="28" t="str">
        <f aca="false">IF(A409="","",COUNTIF($B$5:$B$500,A409))</f>
        <v/>
      </c>
      <c r="R409" s="29" t="str">
        <f aca="false">IF(A409="","",IF(Q409&gt;0,COUNTIFS($B$5:$B$500,A409,$E$5:$E$500,"Done")/Q409,IF(E409="Done",1,0)))</f>
        <v/>
      </c>
      <c r="S409" s="30" t="str">
        <f aca="true">IF(OR(A409="",E409="Done",J409=""),"",IF(J409&lt;TODAY(),"OVERDUE",IF(J409-TODAY()&lt;=7,"Due this week","")))</f>
        <v/>
      </c>
      <c r="T409" s="25"/>
    </row>
    <row r="410" customFormat="false" ht="15" hidden="false" customHeight="false" outlineLevel="0" collapsed="false">
      <c r="A410" s="24"/>
      <c r="B410" s="24"/>
      <c r="C410" s="9"/>
      <c r="D410" s="25"/>
      <c r="E410" s="9"/>
      <c r="F410" s="24"/>
      <c r="G410" s="9"/>
      <c r="H410" s="9"/>
      <c r="I410" s="26"/>
      <c r="J410" s="26"/>
      <c r="K410" s="26"/>
      <c r="L410" s="24"/>
      <c r="M410" s="24"/>
      <c r="N410" s="14"/>
      <c r="O410" s="14"/>
      <c r="P410" s="27" t="str">
        <f aca="false">IF(OR(N410="",O410=""),"",O410-N410)</f>
        <v/>
      </c>
      <c r="Q410" s="28" t="str">
        <f aca="false">IF(A410="","",COUNTIF($B$5:$B$500,A410))</f>
        <v/>
      </c>
      <c r="R410" s="29" t="str">
        <f aca="false">IF(A410="","",IF(Q410&gt;0,COUNTIFS($B$5:$B$500,A410,$E$5:$E$500,"Done")/Q410,IF(E410="Done",1,0)))</f>
        <v/>
      </c>
      <c r="S410" s="30" t="str">
        <f aca="true">IF(OR(A410="",E410="Done",J410=""),"",IF(J410&lt;TODAY(),"OVERDUE",IF(J410-TODAY()&lt;=7,"Due this week","")))</f>
        <v/>
      </c>
      <c r="T410" s="25"/>
    </row>
    <row r="411" customFormat="false" ht="15" hidden="false" customHeight="false" outlineLevel="0" collapsed="false">
      <c r="A411" s="24"/>
      <c r="B411" s="24"/>
      <c r="C411" s="9"/>
      <c r="D411" s="25"/>
      <c r="E411" s="9"/>
      <c r="F411" s="24"/>
      <c r="G411" s="9"/>
      <c r="H411" s="9"/>
      <c r="I411" s="26"/>
      <c r="J411" s="26"/>
      <c r="K411" s="26"/>
      <c r="L411" s="24"/>
      <c r="M411" s="24"/>
      <c r="N411" s="14"/>
      <c r="O411" s="14"/>
      <c r="P411" s="27" t="str">
        <f aca="false">IF(OR(N411="",O411=""),"",O411-N411)</f>
        <v/>
      </c>
      <c r="Q411" s="28" t="str">
        <f aca="false">IF(A411="","",COUNTIF($B$5:$B$500,A411))</f>
        <v/>
      </c>
      <c r="R411" s="29" t="str">
        <f aca="false">IF(A411="","",IF(Q411&gt;0,COUNTIFS($B$5:$B$500,A411,$E$5:$E$500,"Done")/Q411,IF(E411="Done",1,0)))</f>
        <v/>
      </c>
      <c r="S411" s="30" t="str">
        <f aca="true">IF(OR(A411="",E411="Done",J411=""),"",IF(J411&lt;TODAY(),"OVERDUE",IF(J411-TODAY()&lt;=7,"Due this week","")))</f>
        <v/>
      </c>
      <c r="T411" s="25"/>
    </row>
    <row r="412" customFormat="false" ht="15" hidden="false" customHeight="false" outlineLevel="0" collapsed="false">
      <c r="A412" s="24"/>
      <c r="B412" s="24"/>
      <c r="C412" s="9"/>
      <c r="D412" s="25"/>
      <c r="E412" s="9"/>
      <c r="F412" s="24"/>
      <c r="G412" s="9"/>
      <c r="H412" s="9"/>
      <c r="I412" s="26"/>
      <c r="J412" s="26"/>
      <c r="K412" s="26"/>
      <c r="L412" s="24"/>
      <c r="M412" s="24"/>
      <c r="N412" s="14"/>
      <c r="O412" s="14"/>
      <c r="P412" s="27" t="str">
        <f aca="false">IF(OR(N412="",O412=""),"",O412-N412)</f>
        <v/>
      </c>
      <c r="Q412" s="28" t="str">
        <f aca="false">IF(A412="","",COUNTIF($B$5:$B$500,A412))</f>
        <v/>
      </c>
      <c r="R412" s="29" t="str">
        <f aca="false">IF(A412="","",IF(Q412&gt;0,COUNTIFS($B$5:$B$500,A412,$E$5:$E$500,"Done")/Q412,IF(E412="Done",1,0)))</f>
        <v/>
      </c>
      <c r="S412" s="30" t="str">
        <f aca="true">IF(OR(A412="",E412="Done",J412=""),"",IF(J412&lt;TODAY(),"OVERDUE",IF(J412-TODAY()&lt;=7,"Due this week","")))</f>
        <v/>
      </c>
      <c r="T412" s="25"/>
    </row>
    <row r="413" customFormat="false" ht="15" hidden="false" customHeight="false" outlineLevel="0" collapsed="false">
      <c r="A413" s="24"/>
      <c r="B413" s="24"/>
      <c r="C413" s="9"/>
      <c r="D413" s="25"/>
      <c r="E413" s="9"/>
      <c r="F413" s="24"/>
      <c r="G413" s="9"/>
      <c r="H413" s="9"/>
      <c r="I413" s="26"/>
      <c r="J413" s="26"/>
      <c r="K413" s="26"/>
      <c r="L413" s="24"/>
      <c r="M413" s="24"/>
      <c r="N413" s="14"/>
      <c r="O413" s="14"/>
      <c r="P413" s="27" t="str">
        <f aca="false">IF(OR(N413="",O413=""),"",O413-N413)</f>
        <v/>
      </c>
      <c r="Q413" s="28" t="str">
        <f aca="false">IF(A413="","",COUNTIF($B$5:$B$500,A413))</f>
        <v/>
      </c>
      <c r="R413" s="29" t="str">
        <f aca="false">IF(A413="","",IF(Q413&gt;0,COUNTIFS($B$5:$B$500,A413,$E$5:$E$500,"Done")/Q413,IF(E413="Done",1,0)))</f>
        <v/>
      </c>
      <c r="S413" s="30" t="str">
        <f aca="true">IF(OR(A413="",E413="Done",J413=""),"",IF(J413&lt;TODAY(),"OVERDUE",IF(J413-TODAY()&lt;=7,"Due this week","")))</f>
        <v/>
      </c>
      <c r="T413" s="25"/>
    </row>
    <row r="414" customFormat="false" ht="15" hidden="false" customHeight="false" outlineLevel="0" collapsed="false">
      <c r="A414" s="24"/>
      <c r="B414" s="24"/>
      <c r="C414" s="9"/>
      <c r="D414" s="25"/>
      <c r="E414" s="9"/>
      <c r="F414" s="24"/>
      <c r="G414" s="9"/>
      <c r="H414" s="9"/>
      <c r="I414" s="26"/>
      <c r="J414" s="26"/>
      <c r="K414" s="26"/>
      <c r="L414" s="24"/>
      <c r="M414" s="24"/>
      <c r="N414" s="14"/>
      <c r="O414" s="14"/>
      <c r="P414" s="27" t="str">
        <f aca="false">IF(OR(N414="",O414=""),"",O414-N414)</f>
        <v/>
      </c>
      <c r="Q414" s="28" t="str">
        <f aca="false">IF(A414="","",COUNTIF($B$5:$B$500,A414))</f>
        <v/>
      </c>
      <c r="R414" s="29" t="str">
        <f aca="false">IF(A414="","",IF(Q414&gt;0,COUNTIFS($B$5:$B$500,A414,$E$5:$E$500,"Done")/Q414,IF(E414="Done",1,0)))</f>
        <v/>
      </c>
      <c r="S414" s="30" t="str">
        <f aca="true">IF(OR(A414="",E414="Done",J414=""),"",IF(J414&lt;TODAY(),"OVERDUE",IF(J414-TODAY()&lt;=7,"Due this week","")))</f>
        <v/>
      </c>
      <c r="T414" s="25"/>
    </row>
    <row r="415" customFormat="false" ht="15" hidden="false" customHeight="false" outlineLevel="0" collapsed="false">
      <c r="A415" s="24"/>
      <c r="B415" s="24"/>
      <c r="C415" s="9"/>
      <c r="D415" s="25"/>
      <c r="E415" s="9"/>
      <c r="F415" s="24"/>
      <c r="G415" s="9"/>
      <c r="H415" s="9"/>
      <c r="I415" s="26"/>
      <c r="J415" s="26"/>
      <c r="K415" s="26"/>
      <c r="L415" s="24"/>
      <c r="M415" s="24"/>
      <c r="N415" s="14"/>
      <c r="O415" s="14"/>
      <c r="P415" s="27" t="str">
        <f aca="false">IF(OR(N415="",O415=""),"",O415-N415)</f>
        <v/>
      </c>
      <c r="Q415" s="28" t="str">
        <f aca="false">IF(A415="","",COUNTIF($B$5:$B$500,A415))</f>
        <v/>
      </c>
      <c r="R415" s="29" t="str">
        <f aca="false">IF(A415="","",IF(Q415&gt;0,COUNTIFS($B$5:$B$500,A415,$E$5:$E$500,"Done")/Q415,IF(E415="Done",1,0)))</f>
        <v/>
      </c>
      <c r="S415" s="30" t="str">
        <f aca="true">IF(OR(A415="",E415="Done",J415=""),"",IF(J415&lt;TODAY(),"OVERDUE",IF(J415-TODAY()&lt;=7,"Due this week","")))</f>
        <v/>
      </c>
      <c r="T415" s="25"/>
    </row>
    <row r="416" customFormat="false" ht="15" hidden="false" customHeight="false" outlineLevel="0" collapsed="false">
      <c r="A416" s="24"/>
      <c r="B416" s="24"/>
      <c r="C416" s="9"/>
      <c r="D416" s="25"/>
      <c r="E416" s="9"/>
      <c r="F416" s="24"/>
      <c r="G416" s="9"/>
      <c r="H416" s="9"/>
      <c r="I416" s="26"/>
      <c r="J416" s="26"/>
      <c r="K416" s="26"/>
      <c r="L416" s="24"/>
      <c r="M416" s="24"/>
      <c r="N416" s="14"/>
      <c r="O416" s="14"/>
      <c r="P416" s="27" t="str">
        <f aca="false">IF(OR(N416="",O416=""),"",O416-N416)</f>
        <v/>
      </c>
      <c r="Q416" s="28" t="str">
        <f aca="false">IF(A416="","",COUNTIF($B$5:$B$500,A416))</f>
        <v/>
      </c>
      <c r="R416" s="29" t="str">
        <f aca="false">IF(A416="","",IF(Q416&gt;0,COUNTIFS($B$5:$B$500,A416,$E$5:$E$500,"Done")/Q416,IF(E416="Done",1,0)))</f>
        <v/>
      </c>
      <c r="S416" s="30" t="str">
        <f aca="true">IF(OR(A416="",E416="Done",J416=""),"",IF(J416&lt;TODAY(),"OVERDUE",IF(J416-TODAY()&lt;=7,"Due this week","")))</f>
        <v/>
      </c>
      <c r="T416" s="25"/>
    </row>
    <row r="417" customFormat="false" ht="15" hidden="false" customHeight="false" outlineLevel="0" collapsed="false">
      <c r="A417" s="24"/>
      <c r="B417" s="24"/>
      <c r="C417" s="9"/>
      <c r="D417" s="25"/>
      <c r="E417" s="9"/>
      <c r="F417" s="24"/>
      <c r="G417" s="9"/>
      <c r="H417" s="9"/>
      <c r="I417" s="26"/>
      <c r="J417" s="26"/>
      <c r="K417" s="26"/>
      <c r="L417" s="24"/>
      <c r="M417" s="24"/>
      <c r="N417" s="14"/>
      <c r="O417" s="14"/>
      <c r="P417" s="27" t="str">
        <f aca="false">IF(OR(N417="",O417=""),"",O417-N417)</f>
        <v/>
      </c>
      <c r="Q417" s="28" t="str">
        <f aca="false">IF(A417="","",COUNTIF($B$5:$B$500,A417))</f>
        <v/>
      </c>
      <c r="R417" s="29" t="str">
        <f aca="false">IF(A417="","",IF(Q417&gt;0,COUNTIFS($B$5:$B$500,A417,$E$5:$E$500,"Done")/Q417,IF(E417="Done",1,0)))</f>
        <v/>
      </c>
      <c r="S417" s="30" t="str">
        <f aca="true">IF(OR(A417="",E417="Done",J417=""),"",IF(J417&lt;TODAY(),"OVERDUE",IF(J417-TODAY()&lt;=7,"Due this week","")))</f>
        <v/>
      </c>
      <c r="T417" s="25"/>
    </row>
    <row r="418" customFormat="false" ht="15" hidden="false" customHeight="false" outlineLevel="0" collapsed="false">
      <c r="A418" s="24"/>
      <c r="B418" s="24"/>
      <c r="C418" s="9"/>
      <c r="D418" s="25"/>
      <c r="E418" s="9"/>
      <c r="F418" s="24"/>
      <c r="G418" s="9"/>
      <c r="H418" s="9"/>
      <c r="I418" s="26"/>
      <c r="J418" s="26"/>
      <c r="K418" s="26"/>
      <c r="L418" s="24"/>
      <c r="M418" s="24"/>
      <c r="N418" s="14"/>
      <c r="O418" s="14"/>
      <c r="P418" s="27" t="str">
        <f aca="false">IF(OR(N418="",O418=""),"",O418-N418)</f>
        <v/>
      </c>
      <c r="Q418" s="28" t="str">
        <f aca="false">IF(A418="","",COUNTIF($B$5:$B$500,A418))</f>
        <v/>
      </c>
      <c r="R418" s="29" t="str">
        <f aca="false">IF(A418="","",IF(Q418&gt;0,COUNTIFS($B$5:$B$500,A418,$E$5:$E$500,"Done")/Q418,IF(E418="Done",1,0)))</f>
        <v/>
      </c>
      <c r="S418" s="30" t="str">
        <f aca="true">IF(OR(A418="",E418="Done",J418=""),"",IF(J418&lt;TODAY(),"OVERDUE",IF(J418-TODAY()&lt;=7,"Due this week","")))</f>
        <v/>
      </c>
      <c r="T418" s="25"/>
    </row>
    <row r="419" customFormat="false" ht="15" hidden="false" customHeight="false" outlineLevel="0" collapsed="false">
      <c r="A419" s="24"/>
      <c r="B419" s="24"/>
      <c r="C419" s="9"/>
      <c r="D419" s="25"/>
      <c r="E419" s="9"/>
      <c r="F419" s="24"/>
      <c r="G419" s="9"/>
      <c r="H419" s="9"/>
      <c r="I419" s="26"/>
      <c r="J419" s="26"/>
      <c r="K419" s="26"/>
      <c r="L419" s="24"/>
      <c r="M419" s="24"/>
      <c r="N419" s="14"/>
      <c r="O419" s="14"/>
      <c r="P419" s="27" t="str">
        <f aca="false">IF(OR(N419="",O419=""),"",O419-N419)</f>
        <v/>
      </c>
      <c r="Q419" s="28" t="str">
        <f aca="false">IF(A419="","",COUNTIF($B$5:$B$500,A419))</f>
        <v/>
      </c>
      <c r="R419" s="29" t="str">
        <f aca="false">IF(A419="","",IF(Q419&gt;0,COUNTIFS($B$5:$B$500,A419,$E$5:$E$500,"Done")/Q419,IF(E419="Done",1,0)))</f>
        <v/>
      </c>
      <c r="S419" s="30" t="str">
        <f aca="true">IF(OR(A419="",E419="Done",J419=""),"",IF(J419&lt;TODAY(),"OVERDUE",IF(J419-TODAY()&lt;=7,"Due this week","")))</f>
        <v/>
      </c>
      <c r="T419" s="25"/>
    </row>
    <row r="420" customFormat="false" ht="15" hidden="false" customHeight="false" outlineLevel="0" collapsed="false">
      <c r="A420" s="24"/>
      <c r="B420" s="24"/>
      <c r="C420" s="9"/>
      <c r="D420" s="25"/>
      <c r="E420" s="9"/>
      <c r="F420" s="24"/>
      <c r="G420" s="9"/>
      <c r="H420" s="9"/>
      <c r="I420" s="26"/>
      <c r="J420" s="26"/>
      <c r="K420" s="26"/>
      <c r="L420" s="24"/>
      <c r="M420" s="24"/>
      <c r="N420" s="14"/>
      <c r="O420" s="14"/>
      <c r="P420" s="27" t="str">
        <f aca="false">IF(OR(N420="",O420=""),"",O420-N420)</f>
        <v/>
      </c>
      <c r="Q420" s="28" t="str">
        <f aca="false">IF(A420="","",COUNTIF($B$5:$B$500,A420))</f>
        <v/>
      </c>
      <c r="R420" s="29" t="str">
        <f aca="false">IF(A420="","",IF(Q420&gt;0,COUNTIFS($B$5:$B$500,A420,$E$5:$E$500,"Done")/Q420,IF(E420="Done",1,0)))</f>
        <v/>
      </c>
      <c r="S420" s="30" t="str">
        <f aca="true">IF(OR(A420="",E420="Done",J420=""),"",IF(J420&lt;TODAY(),"OVERDUE",IF(J420-TODAY()&lt;=7,"Due this week","")))</f>
        <v/>
      </c>
      <c r="T420" s="25"/>
    </row>
    <row r="421" customFormat="false" ht="15" hidden="false" customHeight="false" outlineLevel="0" collapsed="false">
      <c r="A421" s="24"/>
      <c r="B421" s="24"/>
      <c r="C421" s="9"/>
      <c r="D421" s="25"/>
      <c r="E421" s="9"/>
      <c r="F421" s="24"/>
      <c r="G421" s="9"/>
      <c r="H421" s="9"/>
      <c r="I421" s="26"/>
      <c r="J421" s="26"/>
      <c r="K421" s="26"/>
      <c r="L421" s="24"/>
      <c r="M421" s="24"/>
      <c r="N421" s="14"/>
      <c r="O421" s="14"/>
      <c r="P421" s="27" t="str">
        <f aca="false">IF(OR(N421="",O421=""),"",O421-N421)</f>
        <v/>
      </c>
      <c r="Q421" s="28" t="str">
        <f aca="false">IF(A421="","",COUNTIF($B$5:$B$500,A421))</f>
        <v/>
      </c>
      <c r="R421" s="29" t="str">
        <f aca="false">IF(A421="","",IF(Q421&gt;0,COUNTIFS($B$5:$B$500,A421,$E$5:$E$500,"Done")/Q421,IF(E421="Done",1,0)))</f>
        <v/>
      </c>
      <c r="S421" s="30" t="str">
        <f aca="true">IF(OR(A421="",E421="Done",J421=""),"",IF(J421&lt;TODAY(),"OVERDUE",IF(J421-TODAY()&lt;=7,"Due this week","")))</f>
        <v/>
      </c>
      <c r="T421" s="25"/>
    </row>
    <row r="422" customFormat="false" ht="15" hidden="false" customHeight="false" outlineLevel="0" collapsed="false">
      <c r="A422" s="24"/>
      <c r="B422" s="24"/>
      <c r="C422" s="9"/>
      <c r="D422" s="25"/>
      <c r="E422" s="9"/>
      <c r="F422" s="24"/>
      <c r="G422" s="9"/>
      <c r="H422" s="9"/>
      <c r="I422" s="26"/>
      <c r="J422" s="26"/>
      <c r="K422" s="26"/>
      <c r="L422" s="24"/>
      <c r="M422" s="24"/>
      <c r="N422" s="14"/>
      <c r="O422" s="14"/>
      <c r="P422" s="27" t="str">
        <f aca="false">IF(OR(N422="",O422=""),"",O422-N422)</f>
        <v/>
      </c>
      <c r="Q422" s="28" t="str">
        <f aca="false">IF(A422="","",COUNTIF($B$5:$B$500,A422))</f>
        <v/>
      </c>
      <c r="R422" s="29" t="str">
        <f aca="false">IF(A422="","",IF(Q422&gt;0,COUNTIFS($B$5:$B$500,A422,$E$5:$E$500,"Done")/Q422,IF(E422="Done",1,0)))</f>
        <v/>
      </c>
      <c r="S422" s="30" t="str">
        <f aca="true">IF(OR(A422="",E422="Done",J422=""),"",IF(J422&lt;TODAY(),"OVERDUE",IF(J422-TODAY()&lt;=7,"Due this week","")))</f>
        <v/>
      </c>
      <c r="T422" s="25"/>
    </row>
    <row r="423" customFormat="false" ht="15" hidden="false" customHeight="false" outlineLevel="0" collapsed="false">
      <c r="A423" s="24"/>
      <c r="B423" s="24"/>
      <c r="C423" s="9"/>
      <c r="D423" s="25"/>
      <c r="E423" s="9"/>
      <c r="F423" s="24"/>
      <c r="G423" s="9"/>
      <c r="H423" s="9"/>
      <c r="I423" s="26"/>
      <c r="J423" s="26"/>
      <c r="K423" s="26"/>
      <c r="L423" s="24"/>
      <c r="M423" s="24"/>
      <c r="N423" s="14"/>
      <c r="O423" s="14"/>
      <c r="P423" s="27" t="str">
        <f aca="false">IF(OR(N423="",O423=""),"",O423-N423)</f>
        <v/>
      </c>
      <c r="Q423" s="28" t="str">
        <f aca="false">IF(A423="","",COUNTIF($B$5:$B$500,A423))</f>
        <v/>
      </c>
      <c r="R423" s="29" t="str">
        <f aca="false">IF(A423="","",IF(Q423&gt;0,COUNTIFS($B$5:$B$500,A423,$E$5:$E$500,"Done")/Q423,IF(E423="Done",1,0)))</f>
        <v/>
      </c>
      <c r="S423" s="30" t="str">
        <f aca="true">IF(OR(A423="",E423="Done",J423=""),"",IF(J423&lt;TODAY(),"OVERDUE",IF(J423-TODAY()&lt;=7,"Due this week","")))</f>
        <v/>
      </c>
      <c r="T423" s="25"/>
    </row>
    <row r="424" customFormat="false" ht="15" hidden="false" customHeight="false" outlineLevel="0" collapsed="false">
      <c r="A424" s="24"/>
      <c r="B424" s="24"/>
      <c r="C424" s="9"/>
      <c r="D424" s="25"/>
      <c r="E424" s="9"/>
      <c r="F424" s="24"/>
      <c r="G424" s="9"/>
      <c r="H424" s="9"/>
      <c r="I424" s="26"/>
      <c r="J424" s="26"/>
      <c r="K424" s="26"/>
      <c r="L424" s="24"/>
      <c r="M424" s="24"/>
      <c r="N424" s="14"/>
      <c r="O424" s="14"/>
      <c r="P424" s="27" t="str">
        <f aca="false">IF(OR(N424="",O424=""),"",O424-N424)</f>
        <v/>
      </c>
      <c r="Q424" s="28" t="str">
        <f aca="false">IF(A424="","",COUNTIF($B$5:$B$500,A424))</f>
        <v/>
      </c>
      <c r="R424" s="29" t="str">
        <f aca="false">IF(A424="","",IF(Q424&gt;0,COUNTIFS($B$5:$B$500,A424,$E$5:$E$500,"Done")/Q424,IF(E424="Done",1,0)))</f>
        <v/>
      </c>
      <c r="S424" s="30" t="str">
        <f aca="true">IF(OR(A424="",E424="Done",J424=""),"",IF(J424&lt;TODAY(),"OVERDUE",IF(J424-TODAY()&lt;=7,"Due this week","")))</f>
        <v/>
      </c>
      <c r="T424" s="25"/>
    </row>
    <row r="425" customFormat="false" ht="15" hidden="false" customHeight="false" outlineLevel="0" collapsed="false">
      <c r="A425" s="24"/>
      <c r="B425" s="24"/>
      <c r="C425" s="9"/>
      <c r="D425" s="25"/>
      <c r="E425" s="9"/>
      <c r="F425" s="24"/>
      <c r="G425" s="9"/>
      <c r="H425" s="9"/>
      <c r="I425" s="26"/>
      <c r="J425" s="26"/>
      <c r="K425" s="26"/>
      <c r="L425" s="24"/>
      <c r="M425" s="24"/>
      <c r="N425" s="14"/>
      <c r="O425" s="14"/>
      <c r="P425" s="27" t="str">
        <f aca="false">IF(OR(N425="",O425=""),"",O425-N425)</f>
        <v/>
      </c>
      <c r="Q425" s="28" t="str">
        <f aca="false">IF(A425="","",COUNTIF($B$5:$B$500,A425))</f>
        <v/>
      </c>
      <c r="R425" s="29" t="str">
        <f aca="false">IF(A425="","",IF(Q425&gt;0,COUNTIFS($B$5:$B$500,A425,$E$5:$E$500,"Done")/Q425,IF(E425="Done",1,0)))</f>
        <v/>
      </c>
      <c r="S425" s="30" t="str">
        <f aca="true">IF(OR(A425="",E425="Done",J425=""),"",IF(J425&lt;TODAY(),"OVERDUE",IF(J425-TODAY()&lt;=7,"Due this week","")))</f>
        <v/>
      </c>
      <c r="T425" s="25"/>
    </row>
    <row r="426" customFormat="false" ht="15" hidden="false" customHeight="false" outlineLevel="0" collapsed="false">
      <c r="A426" s="24"/>
      <c r="B426" s="24"/>
      <c r="C426" s="9"/>
      <c r="D426" s="25"/>
      <c r="E426" s="9"/>
      <c r="F426" s="24"/>
      <c r="G426" s="9"/>
      <c r="H426" s="9"/>
      <c r="I426" s="26"/>
      <c r="J426" s="26"/>
      <c r="K426" s="26"/>
      <c r="L426" s="24"/>
      <c r="M426" s="24"/>
      <c r="N426" s="14"/>
      <c r="O426" s="14"/>
      <c r="P426" s="27" t="str">
        <f aca="false">IF(OR(N426="",O426=""),"",O426-N426)</f>
        <v/>
      </c>
      <c r="Q426" s="28" t="str">
        <f aca="false">IF(A426="","",COUNTIF($B$5:$B$500,A426))</f>
        <v/>
      </c>
      <c r="R426" s="29" t="str">
        <f aca="false">IF(A426="","",IF(Q426&gt;0,COUNTIFS($B$5:$B$500,A426,$E$5:$E$500,"Done")/Q426,IF(E426="Done",1,0)))</f>
        <v/>
      </c>
      <c r="S426" s="30" t="str">
        <f aca="true">IF(OR(A426="",E426="Done",J426=""),"",IF(J426&lt;TODAY(),"OVERDUE",IF(J426-TODAY()&lt;=7,"Due this week","")))</f>
        <v/>
      </c>
      <c r="T426" s="25"/>
    </row>
    <row r="427" customFormat="false" ht="15" hidden="false" customHeight="false" outlineLevel="0" collapsed="false">
      <c r="A427" s="24"/>
      <c r="B427" s="24"/>
      <c r="C427" s="9"/>
      <c r="D427" s="25"/>
      <c r="E427" s="9"/>
      <c r="F427" s="24"/>
      <c r="G427" s="9"/>
      <c r="H427" s="9"/>
      <c r="I427" s="26"/>
      <c r="J427" s="26"/>
      <c r="K427" s="26"/>
      <c r="L427" s="24"/>
      <c r="M427" s="24"/>
      <c r="N427" s="14"/>
      <c r="O427" s="14"/>
      <c r="P427" s="27" t="str">
        <f aca="false">IF(OR(N427="",O427=""),"",O427-N427)</f>
        <v/>
      </c>
      <c r="Q427" s="28" t="str">
        <f aca="false">IF(A427="","",COUNTIF($B$5:$B$500,A427))</f>
        <v/>
      </c>
      <c r="R427" s="29" t="str">
        <f aca="false">IF(A427="","",IF(Q427&gt;0,COUNTIFS($B$5:$B$500,A427,$E$5:$E$500,"Done")/Q427,IF(E427="Done",1,0)))</f>
        <v/>
      </c>
      <c r="S427" s="30" t="str">
        <f aca="true">IF(OR(A427="",E427="Done",J427=""),"",IF(J427&lt;TODAY(),"OVERDUE",IF(J427-TODAY()&lt;=7,"Due this week","")))</f>
        <v/>
      </c>
      <c r="T427" s="25"/>
    </row>
    <row r="428" customFormat="false" ht="15" hidden="false" customHeight="false" outlineLevel="0" collapsed="false">
      <c r="A428" s="24"/>
      <c r="B428" s="24"/>
      <c r="C428" s="9"/>
      <c r="D428" s="25"/>
      <c r="E428" s="9"/>
      <c r="F428" s="24"/>
      <c r="G428" s="9"/>
      <c r="H428" s="9"/>
      <c r="I428" s="26"/>
      <c r="J428" s="26"/>
      <c r="K428" s="26"/>
      <c r="L428" s="24"/>
      <c r="M428" s="24"/>
      <c r="N428" s="14"/>
      <c r="O428" s="14"/>
      <c r="P428" s="27" t="str">
        <f aca="false">IF(OR(N428="",O428=""),"",O428-N428)</f>
        <v/>
      </c>
      <c r="Q428" s="28" t="str">
        <f aca="false">IF(A428="","",COUNTIF($B$5:$B$500,A428))</f>
        <v/>
      </c>
      <c r="R428" s="29" t="str">
        <f aca="false">IF(A428="","",IF(Q428&gt;0,COUNTIFS($B$5:$B$500,A428,$E$5:$E$500,"Done")/Q428,IF(E428="Done",1,0)))</f>
        <v/>
      </c>
      <c r="S428" s="30" t="str">
        <f aca="true">IF(OR(A428="",E428="Done",J428=""),"",IF(J428&lt;TODAY(),"OVERDUE",IF(J428-TODAY()&lt;=7,"Due this week","")))</f>
        <v/>
      </c>
      <c r="T428" s="25"/>
    </row>
    <row r="429" customFormat="false" ht="15" hidden="false" customHeight="false" outlineLevel="0" collapsed="false">
      <c r="A429" s="24"/>
      <c r="B429" s="24"/>
      <c r="C429" s="9"/>
      <c r="D429" s="25"/>
      <c r="E429" s="9"/>
      <c r="F429" s="24"/>
      <c r="G429" s="9"/>
      <c r="H429" s="9"/>
      <c r="I429" s="26"/>
      <c r="J429" s="26"/>
      <c r="K429" s="26"/>
      <c r="L429" s="24"/>
      <c r="M429" s="24"/>
      <c r="N429" s="14"/>
      <c r="O429" s="14"/>
      <c r="P429" s="27" t="str">
        <f aca="false">IF(OR(N429="",O429=""),"",O429-N429)</f>
        <v/>
      </c>
      <c r="Q429" s="28" t="str">
        <f aca="false">IF(A429="","",COUNTIF($B$5:$B$500,A429))</f>
        <v/>
      </c>
      <c r="R429" s="29" t="str">
        <f aca="false">IF(A429="","",IF(Q429&gt;0,COUNTIFS($B$5:$B$500,A429,$E$5:$E$500,"Done")/Q429,IF(E429="Done",1,0)))</f>
        <v/>
      </c>
      <c r="S429" s="30" t="str">
        <f aca="true">IF(OR(A429="",E429="Done",J429=""),"",IF(J429&lt;TODAY(),"OVERDUE",IF(J429-TODAY()&lt;=7,"Due this week","")))</f>
        <v/>
      </c>
      <c r="T429" s="25"/>
    </row>
    <row r="430" customFormat="false" ht="15" hidden="false" customHeight="false" outlineLevel="0" collapsed="false">
      <c r="A430" s="24"/>
      <c r="B430" s="24"/>
      <c r="C430" s="9"/>
      <c r="D430" s="25"/>
      <c r="E430" s="9"/>
      <c r="F430" s="24"/>
      <c r="G430" s="9"/>
      <c r="H430" s="9"/>
      <c r="I430" s="26"/>
      <c r="J430" s="26"/>
      <c r="K430" s="26"/>
      <c r="L430" s="24"/>
      <c r="M430" s="24"/>
      <c r="N430" s="14"/>
      <c r="O430" s="14"/>
      <c r="P430" s="27" t="str">
        <f aca="false">IF(OR(N430="",O430=""),"",O430-N430)</f>
        <v/>
      </c>
      <c r="Q430" s="28" t="str">
        <f aca="false">IF(A430="","",COUNTIF($B$5:$B$500,A430))</f>
        <v/>
      </c>
      <c r="R430" s="29" t="str">
        <f aca="false">IF(A430="","",IF(Q430&gt;0,COUNTIFS($B$5:$B$500,A430,$E$5:$E$500,"Done")/Q430,IF(E430="Done",1,0)))</f>
        <v/>
      </c>
      <c r="S430" s="30" t="str">
        <f aca="true">IF(OR(A430="",E430="Done",J430=""),"",IF(J430&lt;TODAY(),"OVERDUE",IF(J430-TODAY()&lt;=7,"Due this week","")))</f>
        <v/>
      </c>
      <c r="T430" s="25"/>
    </row>
    <row r="431" customFormat="false" ht="15" hidden="false" customHeight="false" outlineLevel="0" collapsed="false">
      <c r="A431" s="24"/>
      <c r="B431" s="24"/>
      <c r="C431" s="9"/>
      <c r="D431" s="25"/>
      <c r="E431" s="9"/>
      <c r="F431" s="24"/>
      <c r="G431" s="9"/>
      <c r="H431" s="9"/>
      <c r="I431" s="26"/>
      <c r="J431" s="26"/>
      <c r="K431" s="26"/>
      <c r="L431" s="24"/>
      <c r="M431" s="24"/>
      <c r="N431" s="14"/>
      <c r="O431" s="14"/>
      <c r="P431" s="27" t="str">
        <f aca="false">IF(OR(N431="",O431=""),"",O431-N431)</f>
        <v/>
      </c>
      <c r="Q431" s="28" t="str">
        <f aca="false">IF(A431="","",COUNTIF($B$5:$B$500,A431))</f>
        <v/>
      </c>
      <c r="R431" s="29" t="str">
        <f aca="false">IF(A431="","",IF(Q431&gt;0,COUNTIFS($B$5:$B$500,A431,$E$5:$E$500,"Done")/Q431,IF(E431="Done",1,0)))</f>
        <v/>
      </c>
      <c r="S431" s="30" t="str">
        <f aca="true">IF(OR(A431="",E431="Done",J431=""),"",IF(J431&lt;TODAY(),"OVERDUE",IF(J431-TODAY()&lt;=7,"Due this week","")))</f>
        <v/>
      </c>
      <c r="T431" s="25"/>
    </row>
    <row r="432" customFormat="false" ht="15" hidden="false" customHeight="false" outlineLevel="0" collapsed="false">
      <c r="A432" s="24"/>
      <c r="B432" s="24"/>
      <c r="C432" s="9"/>
      <c r="D432" s="25"/>
      <c r="E432" s="9"/>
      <c r="F432" s="24"/>
      <c r="G432" s="9"/>
      <c r="H432" s="9"/>
      <c r="I432" s="26"/>
      <c r="J432" s="26"/>
      <c r="K432" s="26"/>
      <c r="L432" s="24"/>
      <c r="M432" s="24"/>
      <c r="N432" s="14"/>
      <c r="O432" s="14"/>
      <c r="P432" s="27" t="str">
        <f aca="false">IF(OR(N432="",O432=""),"",O432-N432)</f>
        <v/>
      </c>
      <c r="Q432" s="28" t="str">
        <f aca="false">IF(A432="","",COUNTIF($B$5:$B$500,A432))</f>
        <v/>
      </c>
      <c r="R432" s="29" t="str">
        <f aca="false">IF(A432="","",IF(Q432&gt;0,COUNTIFS($B$5:$B$500,A432,$E$5:$E$500,"Done")/Q432,IF(E432="Done",1,0)))</f>
        <v/>
      </c>
      <c r="S432" s="30" t="str">
        <f aca="true">IF(OR(A432="",E432="Done",J432=""),"",IF(J432&lt;TODAY(),"OVERDUE",IF(J432-TODAY()&lt;=7,"Due this week","")))</f>
        <v/>
      </c>
      <c r="T432" s="25"/>
    </row>
    <row r="433" customFormat="false" ht="15" hidden="false" customHeight="false" outlineLevel="0" collapsed="false">
      <c r="A433" s="24"/>
      <c r="B433" s="24"/>
      <c r="C433" s="9"/>
      <c r="D433" s="25"/>
      <c r="E433" s="9"/>
      <c r="F433" s="24"/>
      <c r="G433" s="9"/>
      <c r="H433" s="9"/>
      <c r="I433" s="26"/>
      <c r="J433" s="26"/>
      <c r="K433" s="26"/>
      <c r="L433" s="24"/>
      <c r="M433" s="24"/>
      <c r="N433" s="14"/>
      <c r="O433" s="14"/>
      <c r="P433" s="27" t="str">
        <f aca="false">IF(OR(N433="",O433=""),"",O433-N433)</f>
        <v/>
      </c>
      <c r="Q433" s="28" t="str">
        <f aca="false">IF(A433="","",COUNTIF($B$5:$B$500,A433))</f>
        <v/>
      </c>
      <c r="R433" s="29" t="str">
        <f aca="false">IF(A433="","",IF(Q433&gt;0,COUNTIFS($B$5:$B$500,A433,$E$5:$E$500,"Done")/Q433,IF(E433="Done",1,0)))</f>
        <v/>
      </c>
      <c r="S433" s="30" t="str">
        <f aca="true">IF(OR(A433="",E433="Done",J433=""),"",IF(J433&lt;TODAY(),"OVERDUE",IF(J433-TODAY()&lt;=7,"Due this week","")))</f>
        <v/>
      </c>
      <c r="T433" s="25"/>
    </row>
    <row r="434" customFormat="false" ht="15" hidden="false" customHeight="false" outlineLevel="0" collapsed="false">
      <c r="A434" s="24"/>
      <c r="B434" s="24"/>
      <c r="C434" s="9"/>
      <c r="D434" s="25"/>
      <c r="E434" s="9"/>
      <c r="F434" s="24"/>
      <c r="G434" s="9"/>
      <c r="H434" s="9"/>
      <c r="I434" s="26"/>
      <c r="J434" s="26"/>
      <c r="K434" s="26"/>
      <c r="L434" s="24"/>
      <c r="M434" s="24"/>
      <c r="N434" s="14"/>
      <c r="O434" s="14"/>
      <c r="P434" s="27" t="str">
        <f aca="false">IF(OR(N434="",O434=""),"",O434-N434)</f>
        <v/>
      </c>
      <c r="Q434" s="28" t="str">
        <f aca="false">IF(A434="","",COUNTIF($B$5:$B$500,A434))</f>
        <v/>
      </c>
      <c r="R434" s="29" t="str">
        <f aca="false">IF(A434="","",IF(Q434&gt;0,COUNTIFS($B$5:$B$500,A434,$E$5:$E$500,"Done")/Q434,IF(E434="Done",1,0)))</f>
        <v/>
      </c>
      <c r="S434" s="30" t="str">
        <f aca="true">IF(OR(A434="",E434="Done",J434=""),"",IF(J434&lt;TODAY(),"OVERDUE",IF(J434-TODAY()&lt;=7,"Due this week","")))</f>
        <v/>
      </c>
      <c r="T434" s="25"/>
    </row>
    <row r="435" customFormat="false" ht="15" hidden="false" customHeight="false" outlineLevel="0" collapsed="false">
      <c r="A435" s="24"/>
      <c r="B435" s="24"/>
      <c r="C435" s="9"/>
      <c r="D435" s="25"/>
      <c r="E435" s="9"/>
      <c r="F435" s="24"/>
      <c r="G435" s="9"/>
      <c r="H435" s="9"/>
      <c r="I435" s="26"/>
      <c r="J435" s="26"/>
      <c r="K435" s="26"/>
      <c r="L435" s="24"/>
      <c r="M435" s="24"/>
      <c r="N435" s="14"/>
      <c r="O435" s="14"/>
      <c r="P435" s="27" t="str">
        <f aca="false">IF(OR(N435="",O435=""),"",O435-N435)</f>
        <v/>
      </c>
      <c r="Q435" s="28" t="str">
        <f aca="false">IF(A435="","",COUNTIF($B$5:$B$500,A435))</f>
        <v/>
      </c>
      <c r="R435" s="29" t="str">
        <f aca="false">IF(A435="","",IF(Q435&gt;0,COUNTIFS($B$5:$B$500,A435,$E$5:$E$500,"Done")/Q435,IF(E435="Done",1,0)))</f>
        <v/>
      </c>
      <c r="S435" s="30" t="str">
        <f aca="true">IF(OR(A435="",E435="Done",J435=""),"",IF(J435&lt;TODAY(),"OVERDUE",IF(J435-TODAY()&lt;=7,"Due this week","")))</f>
        <v/>
      </c>
      <c r="T435" s="25"/>
    </row>
    <row r="436" customFormat="false" ht="15" hidden="false" customHeight="false" outlineLevel="0" collapsed="false">
      <c r="A436" s="24"/>
      <c r="B436" s="24"/>
      <c r="C436" s="9"/>
      <c r="D436" s="25"/>
      <c r="E436" s="9"/>
      <c r="F436" s="24"/>
      <c r="G436" s="9"/>
      <c r="H436" s="9"/>
      <c r="I436" s="26"/>
      <c r="J436" s="26"/>
      <c r="K436" s="26"/>
      <c r="L436" s="24"/>
      <c r="M436" s="24"/>
      <c r="N436" s="14"/>
      <c r="O436" s="14"/>
      <c r="P436" s="27" t="str">
        <f aca="false">IF(OR(N436="",O436=""),"",O436-N436)</f>
        <v/>
      </c>
      <c r="Q436" s="28" t="str">
        <f aca="false">IF(A436="","",COUNTIF($B$5:$B$500,A436))</f>
        <v/>
      </c>
      <c r="R436" s="29" t="str">
        <f aca="false">IF(A436="","",IF(Q436&gt;0,COUNTIFS($B$5:$B$500,A436,$E$5:$E$500,"Done")/Q436,IF(E436="Done",1,0)))</f>
        <v/>
      </c>
      <c r="S436" s="30" t="str">
        <f aca="true">IF(OR(A436="",E436="Done",J436=""),"",IF(J436&lt;TODAY(),"OVERDUE",IF(J436-TODAY()&lt;=7,"Due this week","")))</f>
        <v/>
      </c>
      <c r="T436" s="25"/>
    </row>
    <row r="437" customFormat="false" ht="15" hidden="false" customHeight="false" outlineLevel="0" collapsed="false">
      <c r="A437" s="24"/>
      <c r="B437" s="24"/>
      <c r="C437" s="9"/>
      <c r="D437" s="25"/>
      <c r="E437" s="9"/>
      <c r="F437" s="24"/>
      <c r="G437" s="9"/>
      <c r="H437" s="9"/>
      <c r="I437" s="26"/>
      <c r="J437" s="26"/>
      <c r="K437" s="26"/>
      <c r="L437" s="24"/>
      <c r="M437" s="24"/>
      <c r="N437" s="14"/>
      <c r="O437" s="14"/>
      <c r="P437" s="27" t="str">
        <f aca="false">IF(OR(N437="",O437=""),"",O437-N437)</f>
        <v/>
      </c>
      <c r="Q437" s="28" t="str">
        <f aca="false">IF(A437="","",COUNTIF($B$5:$B$500,A437))</f>
        <v/>
      </c>
      <c r="R437" s="29" t="str">
        <f aca="false">IF(A437="","",IF(Q437&gt;0,COUNTIFS($B$5:$B$500,A437,$E$5:$E$500,"Done")/Q437,IF(E437="Done",1,0)))</f>
        <v/>
      </c>
      <c r="S437" s="30" t="str">
        <f aca="true">IF(OR(A437="",E437="Done",J437=""),"",IF(J437&lt;TODAY(),"OVERDUE",IF(J437-TODAY()&lt;=7,"Due this week","")))</f>
        <v/>
      </c>
      <c r="T437" s="25"/>
    </row>
    <row r="438" customFormat="false" ht="15" hidden="false" customHeight="false" outlineLevel="0" collapsed="false">
      <c r="A438" s="24"/>
      <c r="B438" s="24"/>
      <c r="C438" s="9"/>
      <c r="D438" s="25"/>
      <c r="E438" s="9"/>
      <c r="F438" s="24"/>
      <c r="G438" s="9"/>
      <c r="H438" s="9"/>
      <c r="I438" s="26"/>
      <c r="J438" s="26"/>
      <c r="K438" s="26"/>
      <c r="L438" s="24"/>
      <c r="M438" s="24"/>
      <c r="N438" s="14"/>
      <c r="O438" s="14"/>
      <c r="P438" s="27" t="str">
        <f aca="false">IF(OR(N438="",O438=""),"",O438-N438)</f>
        <v/>
      </c>
      <c r="Q438" s="28" t="str">
        <f aca="false">IF(A438="","",COUNTIF($B$5:$B$500,A438))</f>
        <v/>
      </c>
      <c r="R438" s="29" t="str">
        <f aca="false">IF(A438="","",IF(Q438&gt;0,COUNTIFS($B$5:$B$500,A438,$E$5:$E$500,"Done")/Q438,IF(E438="Done",1,0)))</f>
        <v/>
      </c>
      <c r="S438" s="30" t="str">
        <f aca="true">IF(OR(A438="",E438="Done",J438=""),"",IF(J438&lt;TODAY(),"OVERDUE",IF(J438-TODAY()&lt;=7,"Due this week","")))</f>
        <v/>
      </c>
      <c r="T438" s="25"/>
    </row>
    <row r="439" customFormat="false" ht="15" hidden="false" customHeight="false" outlineLevel="0" collapsed="false">
      <c r="A439" s="24"/>
      <c r="B439" s="24"/>
      <c r="C439" s="9"/>
      <c r="D439" s="25"/>
      <c r="E439" s="9"/>
      <c r="F439" s="24"/>
      <c r="G439" s="9"/>
      <c r="H439" s="9"/>
      <c r="I439" s="26"/>
      <c r="J439" s="26"/>
      <c r="K439" s="26"/>
      <c r="L439" s="24"/>
      <c r="M439" s="24"/>
      <c r="N439" s="14"/>
      <c r="O439" s="14"/>
      <c r="P439" s="27" t="str">
        <f aca="false">IF(OR(N439="",O439=""),"",O439-N439)</f>
        <v/>
      </c>
      <c r="Q439" s="28" t="str">
        <f aca="false">IF(A439="","",COUNTIF($B$5:$B$500,A439))</f>
        <v/>
      </c>
      <c r="R439" s="29" t="str">
        <f aca="false">IF(A439="","",IF(Q439&gt;0,COUNTIFS($B$5:$B$500,A439,$E$5:$E$500,"Done")/Q439,IF(E439="Done",1,0)))</f>
        <v/>
      </c>
      <c r="S439" s="30" t="str">
        <f aca="true">IF(OR(A439="",E439="Done",J439=""),"",IF(J439&lt;TODAY(),"OVERDUE",IF(J439-TODAY()&lt;=7,"Due this week","")))</f>
        <v/>
      </c>
      <c r="T439" s="25"/>
    </row>
    <row r="440" customFormat="false" ht="15" hidden="false" customHeight="false" outlineLevel="0" collapsed="false">
      <c r="A440" s="24"/>
      <c r="B440" s="24"/>
      <c r="C440" s="9"/>
      <c r="D440" s="25"/>
      <c r="E440" s="9"/>
      <c r="F440" s="24"/>
      <c r="G440" s="9"/>
      <c r="H440" s="9"/>
      <c r="I440" s="26"/>
      <c r="J440" s="26"/>
      <c r="K440" s="26"/>
      <c r="L440" s="24"/>
      <c r="M440" s="24"/>
      <c r="N440" s="14"/>
      <c r="O440" s="14"/>
      <c r="P440" s="27" t="str">
        <f aca="false">IF(OR(N440="",O440=""),"",O440-N440)</f>
        <v/>
      </c>
      <c r="Q440" s="28" t="str">
        <f aca="false">IF(A440="","",COUNTIF($B$5:$B$500,A440))</f>
        <v/>
      </c>
      <c r="R440" s="29" t="str">
        <f aca="false">IF(A440="","",IF(Q440&gt;0,COUNTIFS($B$5:$B$500,A440,$E$5:$E$500,"Done")/Q440,IF(E440="Done",1,0)))</f>
        <v/>
      </c>
      <c r="S440" s="30" t="str">
        <f aca="true">IF(OR(A440="",E440="Done",J440=""),"",IF(J440&lt;TODAY(),"OVERDUE",IF(J440-TODAY()&lt;=7,"Due this week","")))</f>
        <v/>
      </c>
      <c r="T440" s="25"/>
    </row>
    <row r="441" customFormat="false" ht="15" hidden="false" customHeight="false" outlineLevel="0" collapsed="false">
      <c r="A441" s="24"/>
      <c r="B441" s="24"/>
      <c r="C441" s="9"/>
      <c r="D441" s="25"/>
      <c r="E441" s="9"/>
      <c r="F441" s="24"/>
      <c r="G441" s="9"/>
      <c r="H441" s="9"/>
      <c r="I441" s="26"/>
      <c r="J441" s="26"/>
      <c r="K441" s="26"/>
      <c r="L441" s="24"/>
      <c r="M441" s="24"/>
      <c r="N441" s="14"/>
      <c r="O441" s="14"/>
      <c r="P441" s="27" t="str">
        <f aca="false">IF(OR(N441="",O441=""),"",O441-N441)</f>
        <v/>
      </c>
      <c r="Q441" s="28" t="str">
        <f aca="false">IF(A441="","",COUNTIF($B$5:$B$500,A441))</f>
        <v/>
      </c>
      <c r="R441" s="29" t="str">
        <f aca="false">IF(A441="","",IF(Q441&gt;0,COUNTIFS($B$5:$B$500,A441,$E$5:$E$500,"Done")/Q441,IF(E441="Done",1,0)))</f>
        <v/>
      </c>
      <c r="S441" s="30" t="str">
        <f aca="true">IF(OR(A441="",E441="Done",J441=""),"",IF(J441&lt;TODAY(),"OVERDUE",IF(J441-TODAY()&lt;=7,"Due this week","")))</f>
        <v/>
      </c>
      <c r="T441" s="25"/>
    </row>
    <row r="442" customFormat="false" ht="15" hidden="false" customHeight="false" outlineLevel="0" collapsed="false">
      <c r="A442" s="24"/>
      <c r="B442" s="24"/>
      <c r="C442" s="9"/>
      <c r="D442" s="25"/>
      <c r="E442" s="9"/>
      <c r="F442" s="24"/>
      <c r="G442" s="9"/>
      <c r="H442" s="9"/>
      <c r="I442" s="26"/>
      <c r="J442" s="26"/>
      <c r="K442" s="26"/>
      <c r="L442" s="24"/>
      <c r="M442" s="24"/>
      <c r="N442" s="14"/>
      <c r="O442" s="14"/>
      <c r="P442" s="27" t="str">
        <f aca="false">IF(OR(N442="",O442=""),"",O442-N442)</f>
        <v/>
      </c>
      <c r="Q442" s="28" t="str">
        <f aca="false">IF(A442="","",COUNTIF($B$5:$B$500,A442))</f>
        <v/>
      </c>
      <c r="R442" s="29" t="str">
        <f aca="false">IF(A442="","",IF(Q442&gt;0,COUNTIFS($B$5:$B$500,A442,$E$5:$E$500,"Done")/Q442,IF(E442="Done",1,0)))</f>
        <v/>
      </c>
      <c r="S442" s="30" t="str">
        <f aca="true">IF(OR(A442="",E442="Done",J442=""),"",IF(J442&lt;TODAY(),"OVERDUE",IF(J442-TODAY()&lt;=7,"Due this week","")))</f>
        <v/>
      </c>
      <c r="T442" s="25"/>
    </row>
    <row r="443" customFormat="false" ht="15" hidden="false" customHeight="false" outlineLevel="0" collapsed="false">
      <c r="A443" s="24"/>
      <c r="B443" s="24"/>
      <c r="C443" s="9"/>
      <c r="D443" s="25"/>
      <c r="E443" s="9"/>
      <c r="F443" s="24"/>
      <c r="G443" s="9"/>
      <c r="H443" s="9"/>
      <c r="I443" s="26"/>
      <c r="J443" s="26"/>
      <c r="K443" s="26"/>
      <c r="L443" s="24"/>
      <c r="M443" s="24"/>
      <c r="N443" s="14"/>
      <c r="O443" s="14"/>
      <c r="P443" s="27" t="str">
        <f aca="false">IF(OR(N443="",O443=""),"",O443-N443)</f>
        <v/>
      </c>
      <c r="Q443" s="28" t="str">
        <f aca="false">IF(A443="","",COUNTIF($B$5:$B$500,A443))</f>
        <v/>
      </c>
      <c r="R443" s="29" t="str">
        <f aca="false">IF(A443="","",IF(Q443&gt;0,COUNTIFS($B$5:$B$500,A443,$E$5:$E$500,"Done")/Q443,IF(E443="Done",1,0)))</f>
        <v/>
      </c>
      <c r="S443" s="30" t="str">
        <f aca="true">IF(OR(A443="",E443="Done",J443=""),"",IF(J443&lt;TODAY(),"OVERDUE",IF(J443-TODAY()&lt;=7,"Due this week","")))</f>
        <v/>
      </c>
      <c r="T443" s="25"/>
    </row>
    <row r="444" customFormat="false" ht="15" hidden="false" customHeight="false" outlineLevel="0" collapsed="false">
      <c r="A444" s="24"/>
      <c r="B444" s="24"/>
      <c r="C444" s="9"/>
      <c r="D444" s="25"/>
      <c r="E444" s="9"/>
      <c r="F444" s="24"/>
      <c r="G444" s="9"/>
      <c r="H444" s="9"/>
      <c r="I444" s="26"/>
      <c r="J444" s="26"/>
      <c r="K444" s="26"/>
      <c r="L444" s="24"/>
      <c r="M444" s="24"/>
      <c r="N444" s="14"/>
      <c r="O444" s="14"/>
      <c r="P444" s="27" t="str">
        <f aca="false">IF(OR(N444="",O444=""),"",O444-N444)</f>
        <v/>
      </c>
      <c r="Q444" s="28" t="str">
        <f aca="false">IF(A444="","",COUNTIF($B$5:$B$500,A444))</f>
        <v/>
      </c>
      <c r="R444" s="29" t="str">
        <f aca="false">IF(A444="","",IF(Q444&gt;0,COUNTIFS($B$5:$B$500,A444,$E$5:$E$500,"Done")/Q444,IF(E444="Done",1,0)))</f>
        <v/>
      </c>
      <c r="S444" s="30" t="str">
        <f aca="true">IF(OR(A444="",E444="Done",J444=""),"",IF(J444&lt;TODAY(),"OVERDUE",IF(J444-TODAY()&lt;=7,"Due this week","")))</f>
        <v/>
      </c>
      <c r="T444" s="25"/>
    </row>
    <row r="445" customFormat="false" ht="15" hidden="false" customHeight="false" outlineLevel="0" collapsed="false">
      <c r="A445" s="24"/>
      <c r="B445" s="24"/>
      <c r="C445" s="9"/>
      <c r="D445" s="25"/>
      <c r="E445" s="9"/>
      <c r="F445" s="24"/>
      <c r="G445" s="9"/>
      <c r="H445" s="9"/>
      <c r="I445" s="26"/>
      <c r="J445" s="26"/>
      <c r="K445" s="26"/>
      <c r="L445" s="24"/>
      <c r="M445" s="24"/>
      <c r="N445" s="14"/>
      <c r="O445" s="14"/>
      <c r="P445" s="27" t="str">
        <f aca="false">IF(OR(N445="",O445=""),"",O445-N445)</f>
        <v/>
      </c>
      <c r="Q445" s="28" t="str">
        <f aca="false">IF(A445="","",COUNTIF($B$5:$B$500,A445))</f>
        <v/>
      </c>
      <c r="R445" s="29" t="str">
        <f aca="false">IF(A445="","",IF(Q445&gt;0,COUNTIFS($B$5:$B$500,A445,$E$5:$E$500,"Done")/Q445,IF(E445="Done",1,0)))</f>
        <v/>
      </c>
      <c r="S445" s="30" t="str">
        <f aca="true">IF(OR(A445="",E445="Done",J445=""),"",IF(J445&lt;TODAY(),"OVERDUE",IF(J445-TODAY()&lt;=7,"Due this week","")))</f>
        <v/>
      </c>
      <c r="T445" s="25"/>
    </row>
    <row r="446" customFormat="false" ht="15" hidden="false" customHeight="false" outlineLevel="0" collapsed="false">
      <c r="A446" s="24"/>
      <c r="B446" s="24"/>
      <c r="C446" s="9"/>
      <c r="D446" s="25"/>
      <c r="E446" s="9"/>
      <c r="F446" s="24"/>
      <c r="G446" s="9"/>
      <c r="H446" s="9"/>
      <c r="I446" s="26"/>
      <c r="J446" s="26"/>
      <c r="K446" s="26"/>
      <c r="L446" s="24"/>
      <c r="M446" s="24"/>
      <c r="N446" s="14"/>
      <c r="O446" s="14"/>
      <c r="P446" s="27" t="str">
        <f aca="false">IF(OR(N446="",O446=""),"",O446-N446)</f>
        <v/>
      </c>
      <c r="Q446" s="28" t="str">
        <f aca="false">IF(A446="","",COUNTIF($B$5:$B$500,A446))</f>
        <v/>
      </c>
      <c r="R446" s="29" t="str">
        <f aca="false">IF(A446="","",IF(Q446&gt;0,COUNTIFS($B$5:$B$500,A446,$E$5:$E$500,"Done")/Q446,IF(E446="Done",1,0)))</f>
        <v/>
      </c>
      <c r="S446" s="30" t="str">
        <f aca="true">IF(OR(A446="",E446="Done",J446=""),"",IF(J446&lt;TODAY(),"OVERDUE",IF(J446-TODAY()&lt;=7,"Due this week","")))</f>
        <v/>
      </c>
      <c r="T446" s="25"/>
    </row>
    <row r="447" customFormat="false" ht="15" hidden="false" customHeight="false" outlineLevel="0" collapsed="false">
      <c r="A447" s="24"/>
      <c r="B447" s="24"/>
      <c r="C447" s="9"/>
      <c r="D447" s="25"/>
      <c r="E447" s="9"/>
      <c r="F447" s="24"/>
      <c r="G447" s="9"/>
      <c r="H447" s="9"/>
      <c r="I447" s="26"/>
      <c r="J447" s="26"/>
      <c r="K447" s="26"/>
      <c r="L447" s="24"/>
      <c r="M447" s="24"/>
      <c r="N447" s="14"/>
      <c r="O447" s="14"/>
      <c r="P447" s="27" t="str">
        <f aca="false">IF(OR(N447="",O447=""),"",O447-N447)</f>
        <v/>
      </c>
      <c r="Q447" s="28" t="str">
        <f aca="false">IF(A447="","",COUNTIF($B$5:$B$500,A447))</f>
        <v/>
      </c>
      <c r="R447" s="29" t="str">
        <f aca="false">IF(A447="","",IF(Q447&gt;0,COUNTIFS($B$5:$B$500,A447,$E$5:$E$500,"Done")/Q447,IF(E447="Done",1,0)))</f>
        <v/>
      </c>
      <c r="S447" s="30" t="str">
        <f aca="true">IF(OR(A447="",E447="Done",J447=""),"",IF(J447&lt;TODAY(),"OVERDUE",IF(J447-TODAY()&lt;=7,"Due this week","")))</f>
        <v/>
      </c>
      <c r="T447" s="25"/>
    </row>
    <row r="448" customFormat="false" ht="15" hidden="false" customHeight="false" outlineLevel="0" collapsed="false">
      <c r="A448" s="24"/>
      <c r="B448" s="24"/>
      <c r="C448" s="9"/>
      <c r="D448" s="25"/>
      <c r="E448" s="9"/>
      <c r="F448" s="24"/>
      <c r="G448" s="9"/>
      <c r="H448" s="9"/>
      <c r="I448" s="26"/>
      <c r="J448" s="26"/>
      <c r="K448" s="26"/>
      <c r="L448" s="24"/>
      <c r="M448" s="24"/>
      <c r="N448" s="14"/>
      <c r="O448" s="14"/>
      <c r="P448" s="27" t="str">
        <f aca="false">IF(OR(N448="",O448=""),"",O448-N448)</f>
        <v/>
      </c>
      <c r="Q448" s="28" t="str">
        <f aca="false">IF(A448="","",COUNTIF($B$5:$B$500,A448))</f>
        <v/>
      </c>
      <c r="R448" s="29" t="str">
        <f aca="false">IF(A448="","",IF(Q448&gt;0,COUNTIFS($B$5:$B$500,A448,$E$5:$E$500,"Done")/Q448,IF(E448="Done",1,0)))</f>
        <v/>
      </c>
      <c r="S448" s="30" t="str">
        <f aca="true">IF(OR(A448="",E448="Done",J448=""),"",IF(J448&lt;TODAY(),"OVERDUE",IF(J448-TODAY()&lt;=7,"Due this week","")))</f>
        <v/>
      </c>
      <c r="T448" s="25"/>
    </row>
    <row r="449" customFormat="false" ht="15" hidden="false" customHeight="false" outlineLevel="0" collapsed="false">
      <c r="A449" s="24"/>
      <c r="B449" s="24"/>
      <c r="C449" s="9"/>
      <c r="D449" s="25"/>
      <c r="E449" s="9"/>
      <c r="F449" s="24"/>
      <c r="G449" s="9"/>
      <c r="H449" s="9"/>
      <c r="I449" s="26"/>
      <c r="J449" s="26"/>
      <c r="K449" s="26"/>
      <c r="L449" s="24"/>
      <c r="M449" s="24"/>
      <c r="N449" s="14"/>
      <c r="O449" s="14"/>
      <c r="P449" s="27" t="str">
        <f aca="false">IF(OR(N449="",O449=""),"",O449-N449)</f>
        <v/>
      </c>
      <c r="Q449" s="28" t="str">
        <f aca="false">IF(A449="","",COUNTIF($B$5:$B$500,A449))</f>
        <v/>
      </c>
      <c r="R449" s="29" t="str">
        <f aca="false">IF(A449="","",IF(Q449&gt;0,COUNTIFS($B$5:$B$500,A449,$E$5:$E$500,"Done")/Q449,IF(E449="Done",1,0)))</f>
        <v/>
      </c>
      <c r="S449" s="30" t="str">
        <f aca="true">IF(OR(A449="",E449="Done",J449=""),"",IF(J449&lt;TODAY(),"OVERDUE",IF(J449-TODAY()&lt;=7,"Due this week","")))</f>
        <v/>
      </c>
      <c r="T449" s="25"/>
    </row>
    <row r="450" customFormat="false" ht="15" hidden="false" customHeight="false" outlineLevel="0" collapsed="false">
      <c r="A450" s="24"/>
      <c r="B450" s="24"/>
      <c r="C450" s="9"/>
      <c r="D450" s="25"/>
      <c r="E450" s="9"/>
      <c r="F450" s="24"/>
      <c r="G450" s="9"/>
      <c r="H450" s="9"/>
      <c r="I450" s="26"/>
      <c r="J450" s="26"/>
      <c r="K450" s="26"/>
      <c r="L450" s="24"/>
      <c r="M450" s="24"/>
      <c r="N450" s="14"/>
      <c r="O450" s="14"/>
      <c r="P450" s="27" t="str">
        <f aca="false">IF(OR(N450="",O450=""),"",O450-N450)</f>
        <v/>
      </c>
      <c r="Q450" s="28" t="str">
        <f aca="false">IF(A450="","",COUNTIF($B$5:$B$500,A450))</f>
        <v/>
      </c>
      <c r="R450" s="29" t="str">
        <f aca="false">IF(A450="","",IF(Q450&gt;0,COUNTIFS($B$5:$B$500,A450,$E$5:$E$500,"Done")/Q450,IF(E450="Done",1,0)))</f>
        <v/>
      </c>
      <c r="S450" s="30" t="str">
        <f aca="true">IF(OR(A450="",E450="Done",J450=""),"",IF(J450&lt;TODAY(),"OVERDUE",IF(J450-TODAY()&lt;=7,"Due this week","")))</f>
        <v/>
      </c>
      <c r="T450" s="25"/>
    </row>
    <row r="451" customFormat="false" ht="15" hidden="false" customHeight="false" outlineLevel="0" collapsed="false">
      <c r="A451" s="24"/>
      <c r="B451" s="24"/>
      <c r="C451" s="9"/>
      <c r="D451" s="25"/>
      <c r="E451" s="9"/>
      <c r="F451" s="24"/>
      <c r="G451" s="9"/>
      <c r="H451" s="9"/>
      <c r="I451" s="26"/>
      <c r="J451" s="26"/>
      <c r="K451" s="26"/>
      <c r="L451" s="24"/>
      <c r="M451" s="24"/>
      <c r="N451" s="14"/>
      <c r="O451" s="14"/>
      <c r="P451" s="27" t="str">
        <f aca="false">IF(OR(N451="",O451=""),"",O451-N451)</f>
        <v/>
      </c>
      <c r="Q451" s="28" t="str">
        <f aca="false">IF(A451="","",COUNTIF($B$5:$B$500,A451))</f>
        <v/>
      </c>
      <c r="R451" s="29" t="str">
        <f aca="false">IF(A451="","",IF(Q451&gt;0,COUNTIFS($B$5:$B$500,A451,$E$5:$E$500,"Done")/Q451,IF(E451="Done",1,0)))</f>
        <v/>
      </c>
      <c r="S451" s="30" t="str">
        <f aca="true">IF(OR(A451="",E451="Done",J451=""),"",IF(J451&lt;TODAY(),"OVERDUE",IF(J451-TODAY()&lt;=7,"Due this week","")))</f>
        <v/>
      </c>
      <c r="T451" s="25"/>
    </row>
    <row r="452" customFormat="false" ht="15" hidden="false" customHeight="false" outlineLevel="0" collapsed="false">
      <c r="A452" s="24"/>
      <c r="B452" s="24"/>
      <c r="C452" s="9"/>
      <c r="D452" s="25"/>
      <c r="E452" s="9"/>
      <c r="F452" s="24"/>
      <c r="G452" s="9"/>
      <c r="H452" s="9"/>
      <c r="I452" s="26"/>
      <c r="J452" s="26"/>
      <c r="K452" s="26"/>
      <c r="L452" s="24"/>
      <c r="M452" s="24"/>
      <c r="N452" s="14"/>
      <c r="O452" s="14"/>
      <c r="P452" s="27" t="str">
        <f aca="false">IF(OR(N452="",O452=""),"",O452-N452)</f>
        <v/>
      </c>
      <c r="Q452" s="28" t="str">
        <f aca="false">IF(A452="","",COUNTIF($B$5:$B$500,A452))</f>
        <v/>
      </c>
      <c r="R452" s="29" t="str">
        <f aca="false">IF(A452="","",IF(Q452&gt;0,COUNTIFS($B$5:$B$500,A452,$E$5:$E$500,"Done")/Q452,IF(E452="Done",1,0)))</f>
        <v/>
      </c>
      <c r="S452" s="30" t="str">
        <f aca="true">IF(OR(A452="",E452="Done",J452=""),"",IF(J452&lt;TODAY(),"OVERDUE",IF(J452-TODAY()&lt;=7,"Due this week","")))</f>
        <v/>
      </c>
      <c r="T452" s="25"/>
    </row>
    <row r="453" customFormat="false" ht="15" hidden="false" customHeight="false" outlineLevel="0" collapsed="false">
      <c r="A453" s="24"/>
      <c r="B453" s="24"/>
      <c r="C453" s="9"/>
      <c r="D453" s="25"/>
      <c r="E453" s="9"/>
      <c r="F453" s="24"/>
      <c r="G453" s="9"/>
      <c r="H453" s="9"/>
      <c r="I453" s="26"/>
      <c r="J453" s="26"/>
      <c r="K453" s="26"/>
      <c r="L453" s="24"/>
      <c r="M453" s="24"/>
      <c r="N453" s="14"/>
      <c r="O453" s="14"/>
      <c r="P453" s="27" t="str">
        <f aca="false">IF(OR(N453="",O453=""),"",O453-N453)</f>
        <v/>
      </c>
      <c r="Q453" s="28" t="str">
        <f aca="false">IF(A453="","",COUNTIF($B$5:$B$500,A453))</f>
        <v/>
      </c>
      <c r="R453" s="29" t="str">
        <f aca="false">IF(A453="","",IF(Q453&gt;0,COUNTIFS($B$5:$B$500,A453,$E$5:$E$500,"Done")/Q453,IF(E453="Done",1,0)))</f>
        <v/>
      </c>
      <c r="S453" s="30" t="str">
        <f aca="true">IF(OR(A453="",E453="Done",J453=""),"",IF(J453&lt;TODAY(),"OVERDUE",IF(J453-TODAY()&lt;=7,"Due this week","")))</f>
        <v/>
      </c>
      <c r="T453" s="25"/>
    </row>
    <row r="454" customFormat="false" ht="15" hidden="false" customHeight="false" outlineLevel="0" collapsed="false">
      <c r="A454" s="24"/>
      <c r="B454" s="24"/>
      <c r="C454" s="9"/>
      <c r="D454" s="25"/>
      <c r="E454" s="9"/>
      <c r="F454" s="24"/>
      <c r="G454" s="9"/>
      <c r="H454" s="9"/>
      <c r="I454" s="26"/>
      <c r="J454" s="26"/>
      <c r="K454" s="26"/>
      <c r="L454" s="24"/>
      <c r="M454" s="24"/>
      <c r="N454" s="14"/>
      <c r="O454" s="14"/>
      <c r="P454" s="27" t="str">
        <f aca="false">IF(OR(N454="",O454=""),"",O454-N454)</f>
        <v/>
      </c>
      <c r="Q454" s="28" t="str">
        <f aca="false">IF(A454="","",COUNTIF($B$5:$B$500,A454))</f>
        <v/>
      </c>
      <c r="R454" s="29" t="str">
        <f aca="false">IF(A454="","",IF(Q454&gt;0,COUNTIFS($B$5:$B$500,A454,$E$5:$E$500,"Done")/Q454,IF(E454="Done",1,0)))</f>
        <v/>
      </c>
      <c r="S454" s="30" t="str">
        <f aca="true">IF(OR(A454="",E454="Done",J454=""),"",IF(J454&lt;TODAY(),"OVERDUE",IF(J454-TODAY()&lt;=7,"Due this week","")))</f>
        <v/>
      </c>
      <c r="T454" s="25"/>
    </row>
    <row r="455" customFormat="false" ht="15" hidden="false" customHeight="false" outlineLevel="0" collapsed="false">
      <c r="A455" s="24"/>
      <c r="B455" s="24"/>
      <c r="C455" s="9"/>
      <c r="D455" s="25"/>
      <c r="E455" s="9"/>
      <c r="F455" s="24"/>
      <c r="G455" s="9"/>
      <c r="H455" s="9"/>
      <c r="I455" s="26"/>
      <c r="J455" s="26"/>
      <c r="K455" s="26"/>
      <c r="L455" s="24"/>
      <c r="M455" s="24"/>
      <c r="N455" s="14"/>
      <c r="O455" s="14"/>
      <c r="P455" s="27" t="str">
        <f aca="false">IF(OR(N455="",O455=""),"",O455-N455)</f>
        <v/>
      </c>
      <c r="Q455" s="28" t="str">
        <f aca="false">IF(A455="","",COUNTIF($B$5:$B$500,A455))</f>
        <v/>
      </c>
      <c r="R455" s="29" t="str">
        <f aca="false">IF(A455="","",IF(Q455&gt;0,COUNTIFS($B$5:$B$500,A455,$E$5:$E$500,"Done")/Q455,IF(E455="Done",1,0)))</f>
        <v/>
      </c>
      <c r="S455" s="30" t="str">
        <f aca="true">IF(OR(A455="",E455="Done",J455=""),"",IF(J455&lt;TODAY(),"OVERDUE",IF(J455-TODAY()&lt;=7,"Due this week","")))</f>
        <v/>
      </c>
      <c r="T455" s="25"/>
    </row>
    <row r="456" customFormat="false" ht="15" hidden="false" customHeight="false" outlineLevel="0" collapsed="false">
      <c r="A456" s="24"/>
      <c r="B456" s="24"/>
      <c r="C456" s="9"/>
      <c r="D456" s="25"/>
      <c r="E456" s="9"/>
      <c r="F456" s="24"/>
      <c r="G456" s="9"/>
      <c r="H456" s="9"/>
      <c r="I456" s="26"/>
      <c r="J456" s="26"/>
      <c r="K456" s="26"/>
      <c r="L456" s="24"/>
      <c r="M456" s="24"/>
      <c r="N456" s="14"/>
      <c r="O456" s="14"/>
      <c r="P456" s="27" t="str">
        <f aca="false">IF(OR(N456="",O456=""),"",O456-N456)</f>
        <v/>
      </c>
      <c r="Q456" s="28" t="str">
        <f aca="false">IF(A456="","",COUNTIF($B$5:$B$500,A456))</f>
        <v/>
      </c>
      <c r="R456" s="29" t="str">
        <f aca="false">IF(A456="","",IF(Q456&gt;0,COUNTIFS($B$5:$B$500,A456,$E$5:$E$500,"Done")/Q456,IF(E456="Done",1,0)))</f>
        <v/>
      </c>
      <c r="S456" s="30" t="str">
        <f aca="true">IF(OR(A456="",E456="Done",J456=""),"",IF(J456&lt;TODAY(),"OVERDUE",IF(J456-TODAY()&lt;=7,"Due this week","")))</f>
        <v/>
      </c>
      <c r="T456" s="25"/>
    </row>
    <row r="457" customFormat="false" ht="15" hidden="false" customHeight="false" outlineLevel="0" collapsed="false">
      <c r="A457" s="24"/>
      <c r="B457" s="24"/>
      <c r="C457" s="9"/>
      <c r="D457" s="25"/>
      <c r="E457" s="9"/>
      <c r="F457" s="24"/>
      <c r="G457" s="9"/>
      <c r="H457" s="9"/>
      <c r="I457" s="26"/>
      <c r="J457" s="26"/>
      <c r="K457" s="26"/>
      <c r="L457" s="24"/>
      <c r="M457" s="24"/>
      <c r="N457" s="14"/>
      <c r="O457" s="14"/>
      <c r="P457" s="27" t="str">
        <f aca="false">IF(OR(N457="",O457=""),"",O457-N457)</f>
        <v/>
      </c>
      <c r="Q457" s="28" t="str">
        <f aca="false">IF(A457="","",COUNTIF($B$5:$B$500,A457))</f>
        <v/>
      </c>
      <c r="R457" s="29" t="str">
        <f aca="false">IF(A457="","",IF(Q457&gt;0,COUNTIFS($B$5:$B$500,A457,$E$5:$E$500,"Done")/Q457,IF(E457="Done",1,0)))</f>
        <v/>
      </c>
      <c r="S457" s="30" t="str">
        <f aca="true">IF(OR(A457="",E457="Done",J457=""),"",IF(J457&lt;TODAY(),"OVERDUE",IF(J457-TODAY()&lt;=7,"Due this week","")))</f>
        <v/>
      </c>
      <c r="T457" s="25"/>
    </row>
    <row r="458" customFormat="false" ht="15" hidden="false" customHeight="false" outlineLevel="0" collapsed="false">
      <c r="A458" s="24"/>
      <c r="B458" s="24"/>
      <c r="C458" s="9"/>
      <c r="D458" s="25"/>
      <c r="E458" s="9"/>
      <c r="F458" s="24"/>
      <c r="G458" s="9"/>
      <c r="H458" s="9"/>
      <c r="I458" s="26"/>
      <c r="J458" s="26"/>
      <c r="K458" s="26"/>
      <c r="L458" s="24"/>
      <c r="M458" s="24"/>
      <c r="N458" s="14"/>
      <c r="O458" s="14"/>
      <c r="P458" s="27" t="str">
        <f aca="false">IF(OR(N458="",O458=""),"",O458-N458)</f>
        <v/>
      </c>
      <c r="Q458" s="28" t="str">
        <f aca="false">IF(A458="","",COUNTIF($B$5:$B$500,A458))</f>
        <v/>
      </c>
      <c r="R458" s="29" t="str">
        <f aca="false">IF(A458="","",IF(Q458&gt;0,COUNTIFS($B$5:$B$500,A458,$E$5:$E$500,"Done")/Q458,IF(E458="Done",1,0)))</f>
        <v/>
      </c>
      <c r="S458" s="30" t="str">
        <f aca="true">IF(OR(A458="",E458="Done",J458=""),"",IF(J458&lt;TODAY(),"OVERDUE",IF(J458-TODAY()&lt;=7,"Due this week","")))</f>
        <v/>
      </c>
      <c r="T458" s="25"/>
    </row>
    <row r="459" customFormat="false" ht="15" hidden="false" customHeight="false" outlineLevel="0" collapsed="false">
      <c r="A459" s="24"/>
      <c r="B459" s="24"/>
      <c r="C459" s="9"/>
      <c r="D459" s="25"/>
      <c r="E459" s="9"/>
      <c r="F459" s="24"/>
      <c r="G459" s="9"/>
      <c r="H459" s="9"/>
      <c r="I459" s="26"/>
      <c r="J459" s="26"/>
      <c r="K459" s="26"/>
      <c r="L459" s="24"/>
      <c r="M459" s="24"/>
      <c r="N459" s="14"/>
      <c r="O459" s="14"/>
      <c r="P459" s="27" t="str">
        <f aca="false">IF(OR(N459="",O459=""),"",O459-N459)</f>
        <v/>
      </c>
      <c r="Q459" s="28" t="str">
        <f aca="false">IF(A459="","",COUNTIF($B$5:$B$500,A459))</f>
        <v/>
      </c>
      <c r="R459" s="29" t="str">
        <f aca="false">IF(A459="","",IF(Q459&gt;0,COUNTIFS($B$5:$B$500,A459,$E$5:$E$500,"Done")/Q459,IF(E459="Done",1,0)))</f>
        <v/>
      </c>
      <c r="S459" s="30" t="str">
        <f aca="true">IF(OR(A459="",E459="Done",J459=""),"",IF(J459&lt;TODAY(),"OVERDUE",IF(J459-TODAY()&lt;=7,"Due this week","")))</f>
        <v/>
      </c>
      <c r="T459" s="25"/>
    </row>
    <row r="460" customFormat="false" ht="15" hidden="false" customHeight="false" outlineLevel="0" collapsed="false">
      <c r="A460" s="24"/>
      <c r="B460" s="24"/>
      <c r="C460" s="9"/>
      <c r="D460" s="25"/>
      <c r="E460" s="9"/>
      <c r="F460" s="24"/>
      <c r="G460" s="9"/>
      <c r="H460" s="9"/>
      <c r="I460" s="26"/>
      <c r="J460" s="26"/>
      <c r="K460" s="26"/>
      <c r="L460" s="24"/>
      <c r="M460" s="24"/>
      <c r="N460" s="14"/>
      <c r="O460" s="14"/>
      <c r="P460" s="27" t="str">
        <f aca="false">IF(OR(N460="",O460=""),"",O460-N460)</f>
        <v/>
      </c>
      <c r="Q460" s="28" t="str">
        <f aca="false">IF(A460="","",COUNTIF($B$5:$B$500,A460))</f>
        <v/>
      </c>
      <c r="R460" s="29" t="str">
        <f aca="false">IF(A460="","",IF(Q460&gt;0,COUNTIFS($B$5:$B$500,A460,$E$5:$E$500,"Done")/Q460,IF(E460="Done",1,0)))</f>
        <v/>
      </c>
      <c r="S460" s="30" t="str">
        <f aca="true">IF(OR(A460="",E460="Done",J460=""),"",IF(J460&lt;TODAY(),"OVERDUE",IF(J460-TODAY()&lt;=7,"Due this week","")))</f>
        <v/>
      </c>
      <c r="T460" s="25"/>
    </row>
    <row r="461" customFormat="false" ht="15" hidden="false" customHeight="false" outlineLevel="0" collapsed="false">
      <c r="A461" s="24"/>
      <c r="B461" s="24"/>
      <c r="C461" s="9"/>
      <c r="D461" s="25"/>
      <c r="E461" s="9"/>
      <c r="F461" s="24"/>
      <c r="G461" s="9"/>
      <c r="H461" s="9"/>
      <c r="I461" s="26"/>
      <c r="J461" s="26"/>
      <c r="K461" s="26"/>
      <c r="L461" s="24"/>
      <c r="M461" s="24"/>
      <c r="N461" s="14"/>
      <c r="O461" s="14"/>
      <c r="P461" s="27" t="str">
        <f aca="false">IF(OR(N461="",O461=""),"",O461-N461)</f>
        <v/>
      </c>
      <c r="Q461" s="28" t="str">
        <f aca="false">IF(A461="","",COUNTIF($B$5:$B$500,A461))</f>
        <v/>
      </c>
      <c r="R461" s="29" t="str">
        <f aca="false">IF(A461="","",IF(Q461&gt;0,COUNTIFS($B$5:$B$500,A461,$E$5:$E$500,"Done")/Q461,IF(E461="Done",1,0)))</f>
        <v/>
      </c>
      <c r="S461" s="30" t="str">
        <f aca="true">IF(OR(A461="",E461="Done",J461=""),"",IF(J461&lt;TODAY(),"OVERDUE",IF(J461-TODAY()&lt;=7,"Due this week","")))</f>
        <v/>
      </c>
      <c r="T461" s="25"/>
    </row>
    <row r="462" customFormat="false" ht="15" hidden="false" customHeight="false" outlineLevel="0" collapsed="false">
      <c r="A462" s="24"/>
      <c r="B462" s="24"/>
      <c r="C462" s="9"/>
      <c r="D462" s="25"/>
      <c r="E462" s="9"/>
      <c r="F462" s="24"/>
      <c r="G462" s="9"/>
      <c r="H462" s="9"/>
      <c r="I462" s="26"/>
      <c r="J462" s="26"/>
      <c r="K462" s="26"/>
      <c r="L462" s="24"/>
      <c r="M462" s="24"/>
      <c r="N462" s="14"/>
      <c r="O462" s="14"/>
      <c r="P462" s="27" t="str">
        <f aca="false">IF(OR(N462="",O462=""),"",O462-N462)</f>
        <v/>
      </c>
      <c r="Q462" s="28" t="str">
        <f aca="false">IF(A462="","",COUNTIF($B$5:$B$500,A462))</f>
        <v/>
      </c>
      <c r="R462" s="29" t="str">
        <f aca="false">IF(A462="","",IF(Q462&gt;0,COUNTIFS($B$5:$B$500,A462,$E$5:$E$500,"Done")/Q462,IF(E462="Done",1,0)))</f>
        <v/>
      </c>
      <c r="S462" s="30" t="str">
        <f aca="true">IF(OR(A462="",E462="Done",J462=""),"",IF(J462&lt;TODAY(),"OVERDUE",IF(J462-TODAY()&lt;=7,"Due this week","")))</f>
        <v/>
      </c>
      <c r="T462" s="25"/>
    </row>
    <row r="463" customFormat="false" ht="15" hidden="false" customHeight="false" outlineLevel="0" collapsed="false">
      <c r="A463" s="24"/>
      <c r="B463" s="24"/>
      <c r="C463" s="9"/>
      <c r="D463" s="25"/>
      <c r="E463" s="9"/>
      <c r="F463" s="24"/>
      <c r="G463" s="9"/>
      <c r="H463" s="9"/>
      <c r="I463" s="26"/>
      <c r="J463" s="26"/>
      <c r="K463" s="26"/>
      <c r="L463" s="24"/>
      <c r="M463" s="24"/>
      <c r="N463" s="14"/>
      <c r="O463" s="14"/>
      <c r="P463" s="27" t="str">
        <f aca="false">IF(OR(N463="",O463=""),"",O463-N463)</f>
        <v/>
      </c>
      <c r="Q463" s="28" t="str">
        <f aca="false">IF(A463="","",COUNTIF($B$5:$B$500,A463))</f>
        <v/>
      </c>
      <c r="R463" s="29" t="str">
        <f aca="false">IF(A463="","",IF(Q463&gt;0,COUNTIFS($B$5:$B$500,A463,$E$5:$E$500,"Done")/Q463,IF(E463="Done",1,0)))</f>
        <v/>
      </c>
      <c r="S463" s="30" t="str">
        <f aca="true">IF(OR(A463="",E463="Done",J463=""),"",IF(J463&lt;TODAY(),"OVERDUE",IF(J463-TODAY()&lt;=7,"Due this week","")))</f>
        <v/>
      </c>
      <c r="T463" s="25"/>
    </row>
    <row r="464" customFormat="false" ht="15" hidden="false" customHeight="false" outlineLevel="0" collapsed="false">
      <c r="A464" s="24"/>
      <c r="B464" s="24"/>
      <c r="C464" s="9"/>
      <c r="D464" s="25"/>
      <c r="E464" s="9"/>
      <c r="F464" s="24"/>
      <c r="G464" s="9"/>
      <c r="H464" s="9"/>
      <c r="I464" s="26"/>
      <c r="J464" s="26"/>
      <c r="K464" s="26"/>
      <c r="L464" s="24"/>
      <c r="M464" s="24"/>
      <c r="N464" s="14"/>
      <c r="O464" s="14"/>
      <c r="P464" s="27" t="str">
        <f aca="false">IF(OR(N464="",O464=""),"",O464-N464)</f>
        <v/>
      </c>
      <c r="Q464" s="28" t="str">
        <f aca="false">IF(A464="","",COUNTIF($B$5:$B$500,A464))</f>
        <v/>
      </c>
      <c r="R464" s="29" t="str">
        <f aca="false">IF(A464="","",IF(Q464&gt;0,COUNTIFS($B$5:$B$500,A464,$E$5:$E$500,"Done")/Q464,IF(E464="Done",1,0)))</f>
        <v/>
      </c>
      <c r="S464" s="30" t="str">
        <f aca="true">IF(OR(A464="",E464="Done",J464=""),"",IF(J464&lt;TODAY(),"OVERDUE",IF(J464-TODAY()&lt;=7,"Due this week","")))</f>
        <v/>
      </c>
      <c r="T464" s="25"/>
    </row>
    <row r="465" customFormat="false" ht="15" hidden="false" customHeight="false" outlineLevel="0" collapsed="false">
      <c r="A465" s="24"/>
      <c r="B465" s="24"/>
      <c r="C465" s="9"/>
      <c r="D465" s="25"/>
      <c r="E465" s="9"/>
      <c r="F465" s="24"/>
      <c r="G465" s="9"/>
      <c r="H465" s="9"/>
      <c r="I465" s="26"/>
      <c r="J465" s="26"/>
      <c r="K465" s="26"/>
      <c r="L465" s="24"/>
      <c r="M465" s="24"/>
      <c r="N465" s="14"/>
      <c r="O465" s="14"/>
      <c r="P465" s="27" t="str">
        <f aca="false">IF(OR(N465="",O465=""),"",O465-N465)</f>
        <v/>
      </c>
      <c r="Q465" s="28" t="str">
        <f aca="false">IF(A465="","",COUNTIF($B$5:$B$500,A465))</f>
        <v/>
      </c>
      <c r="R465" s="29" t="str">
        <f aca="false">IF(A465="","",IF(Q465&gt;0,COUNTIFS($B$5:$B$500,A465,$E$5:$E$500,"Done")/Q465,IF(E465="Done",1,0)))</f>
        <v/>
      </c>
      <c r="S465" s="30" t="str">
        <f aca="true">IF(OR(A465="",E465="Done",J465=""),"",IF(J465&lt;TODAY(),"OVERDUE",IF(J465-TODAY()&lt;=7,"Due this week","")))</f>
        <v/>
      </c>
      <c r="T465" s="25"/>
    </row>
    <row r="466" customFormat="false" ht="15" hidden="false" customHeight="false" outlineLevel="0" collapsed="false">
      <c r="A466" s="24"/>
      <c r="B466" s="24"/>
      <c r="C466" s="9"/>
      <c r="D466" s="25"/>
      <c r="E466" s="9"/>
      <c r="F466" s="24"/>
      <c r="G466" s="9"/>
      <c r="H466" s="9"/>
      <c r="I466" s="26"/>
      <c r="J466" s="26"/>
      <c r="K466" s="26"/>
      <c r="L466" s="24"/>
      <c r="M466" s="24"/>
      <c r="N466" s="14"/>
      <c r="O466" s="14"/>
      <c r="P466" s="27" t="str">
        <f aca="false">IF(OR(N466="",O466=""),"",O466-N466)</f>
        <v/>
      </c>
      <c r="Q466" s="28" t="str">
        <f aca="false">IF(A466="","",COUNTIF($B$5:$B$500,A466))</f>
        <v/>
      </c>
      <c r="R466" s="29" t="str">
        <f aca="false">IF(A466="","",IF(Q466&gt;0,COUNTIFS($B$5:$B$500,A466,$E$5:$E$500,"Done")/Q466,IF(E466="Done",1,0)))</f>
        <v/>
      </c>
      <c r="S466" s="30" t="str">
        <f aca="true">IF(OR(A466="",E466="Done",J466=""),"",IF(J466&lt;TODAY(),"OVERDUE",IF(J466-TODAY()&lt;=7,"Due this week","")))</f>
        <v/>
      </c>
      <c r="T466" s="25"/>
    </row>
    <row r="467" customFormat="false" ht="15" hidden="false" customHeight="false" outlineLevel="0" collapsed="false">
      <c r="A467" s="24"/>
      <c r="B467" s="24"/>
      <c r="C467" s="9"/>
      <c r="D467" s="25"/>
      <c r="E467" s="9"/>
      <c r="F467" s="24"/>
      <c r="G467" s="9"/>
      <c r="H467" s="9"/>
      <c r="I467" s="26"/>
      <c r="J467" s="26"/>
      <c r="K467" s="26"/>
      <c r="L467" s="24"/>
      <c r="M467" s="24"/>
      <c r="N467" s="14"/>
      <c r="O467" s="14"/>
      <c r="P467" s="27" t="str">
        <f aca="false">IF(OR(N467="",O467=""),"",O467-N467)</f>
        <v/>
      </c>
      <c r="Q467" s="28" t="str">
        <f aca="false">IF(A467="","",COUNTIF($B$5:$B$500,A467))</f>
        <v/>
      </c>
      <c r="R467" s="29" t="str">
        <f aca="false">IF(A467="","",IF(Q467&gt;0,COUNTIFS($B$5:$B$500,A467,$E$5:$E$500,"Done")/Q467,IF(E467="Done",1,0)))</f>
        <v/>
      </c>
      <c r="S467" s="30" t="str">
        <f aca="true">IF(OR(A467="",E467="Done",J467=""),"",IF(J467&lt;TODAY(),"OVERDUE",IF(J467-TODAY()&lt;=7,"Due this week","")))</f>
        <v/>
      </c>
      <c r="T467" s="25"/>
    </row>
    <row r="468" customFormat="false" ht="15" hidden="false" customHeight="false" outlineLevel="0" collapsed="false">
      <c r="A468" s="24"/>
      <c r="B468" s="24"/>
      <c r="C468" s="9"/>
      <c r="D468" s="25"/>
      <c r="E468" s="9"/>
      <c r="F468" s="24"/>
      <c r="G468" s="9"/>
      <c r="H468" s="9"/>
      <c r="I468" s="26"/>
      <c r="J468" s="26"/>
      <c r="K468" s="26"/>
      <c r="L468" s="24"/>
      <c r="M468" s="24"/>
      <c r="N468" s="14"/>
      <c r="O468" s="14"/>
      <c r="P468" s="27" t="str">
        <f aca="false">IF(OR(N468="",O468=""),"",O468-N468)</f>
        <v/>
      </c>
      <c r="Q468" s="28" t="str">
        <f aca="false">IF(A468="","",COUNTIF($B$5:$B$500,A468))</f>
        <v/>
      </c>
      <c r="R468" s="29" t="str">
        <f aca="false">IF(A468="","",IF(Q468&gt;0,COUNTIFS($B$5:$B$500,A468,$E$5:$E$500,"Done")/Q468,IF(E468="Done",1,0)))</f>
        <v/>
      </c>
      <c r="S468" s="30" t="str">
        <f aca="true">IF(OR(A468="",E468="Done",J468=""),"",IF(J468&lt;TODAY(),"OVERDUE",IF(J468-TODAY()&lt;=7,"Due this week","")))</f>
        <v/>
      </c>
      <c r="T468" s="25"/>
    </row>
    <row r="469" customFormat="false" ht="15" hidden="false" customHeight="false" outlineLevel="0" collapsed="false">
      <c r="A469" s="24"/>
      <c r="B469" s="24"/>
      <c r="C469" s="9"/>
      <c r="D469" s="25"/>
      <c r="E469" s="9"/>
      <c r="F469" s="24"/>
      <c r="G469" s="9"/>
      <c r="H469" s="9"/>
      <c r="I469" s="26"/>
      <c r="J469" s="26"/>
      <c r="K469" s="26"/>
      <c r="L469" s="24"/>
      <c r="M469" s="24"/>
      <c r="N469" s="14"/>
      <c r="O469" s="14"/>
      <c r="P469" s="27" t="str">
        <f aca="false">IF(OR(N469="",O469=""),"",O469-N469)</f>
        <v/>
      </c>
      <c r="Q469" s="28" t="str">
        <f aca="false">IF(A469="","",COUNTIF($B$5:$B$500,A469))</f>
        <v/>
      </c>
      <c r="R469" s="29" t="str">
        <f aca="false">IF(A469="","",IF(Q469&gt;0,COUNTIFS($B$5:$B$500,A469,$E$5:$E$500,"Done")/Q469,IF(E469="Done",1,0)))</f>
        <v/>
      </c>
      <c r="S469" s="30" t="str">
        <f aca="true">IF(OR(A469="",E469="Done",J469=""),"",IF(J469&lt;TODAY(),"OVERDUE",IF(J469-TODAY()&lt;=7,"Due this week","")))</f>
        <v/>
      </c>
      <c r="T469" s="25"/>
    </row>
    <row r="470" customFormat="false" ht="15" hidden="false" customHeight="false" outlineLevel="0" collapsed="false">
      <c r="A470" s="24"/>
      <c r="B470" s="24"/>
      <c r="C470" s="9"/>
      <c r="D470" s="25"/>
      <c r="E470" s="9"/>
      <c r="F470" s="24"/>
      <c r="G470" s="9"/>
      <c r="H470" s="9"/>
      <c r="I470" s="26"/>
      <c r="J470" s="26"/>
      <c r="K470" s="26"/>
      <c r="L470" s="24"/>
      <c r="M470" s="24"/>
      <c r="N470" s="14"/>
      <c r="O470" s="14"/>
      <c r="P470" s="27" t="str">
        <f aca="false">IF(OR(N470="",O470=""),"",O470-N470)</f>
        <v/>
      </c>
      <c r="Q470" s="28" t="str">
        <f aca="false">IF(A470="","",COUNTIF($B$5:$B$500,A470))</f>
        <v/>
      </c>
      <c r="R470" s="29" t="str">
        <f aca="false">IF(A470="","",IF(Q470&gt;0,COUNTIFS($B$5:$B$500,A470,$E$5:$E$500,"Done")/Q470,IF(E470="Done",1,0)))</f>
        <v/>
      </c>
      <c r="S470" s="30" t="str">
        <f aca="true">IF(OR(A470="",E470="Done",J470=""),"",IF(J470&lt;TODAY(),"OVERDUE",IF(J470-TODAY()&lt;=7,"Due this week","")))</f>
        <v/>
      </c>
      <c r="T470" s="25"/>
    </row>
    <row r="471" customFormat="false" ht="15" hidden="false" customHeight="false" outlineLevel="0" collapsed="false">
      <c r="A471" s="24"/>
      <c r="B471" s="24"/>
      <c r="C471" s="9"/>
      <c r="D471" s="25"/>
      <c r="E471" s="9"/>
      <c r="F471" s="24"/>
      <c r="G471" s="9"/>
      <c r="H471" s="9"/>
      <c r="I471" s="26"/>
      <c r="J471" s="26"/>
      <c r="K471" s="26"/>
      <c r="L471" s="24"/>
      <c r="M471" s="24"/>
      <c r="N471" s="14"/>
      <c r="O471" s="14"/>
      <c r="P471" s="27" t="str">
        <f aca="false">IF(OR(N471="",O471=""),"",O471-N471)</f>
        <v/>
      </c>
      <c r="Q471" s="28" t="str">
        <f aca="false">IF(A471="","",COUNTIF($B$5:$B$500,A471))</f>
        <v/>
      </c>
      <c r="R471" s="29" t="str">
        <f aca="false">IF(A471="","",IF(Q471&gt;0,COUNTIFS($B$5:$B$500,A471,$E$5:$E$500,"Done")/Q471,IF(E471="Done",1,0)))</f>
        <v/>
      </c>
      <c r="S471" s="30" t="str">
        <f aca="true">IF(OR(A471="",E471="Done",J471=""),"",IF(J471&lt;TODAY(),"OVERDUE",IF(J471-TODAY()&lt;=7,"Due this week","")))</f>
        <v/>
      </c>
      <c r="T471" s="25"/>
    </row>
    <row r="472" customFormat="false" ht="15" hidden="false" customHeight="false" outlineLevel="0" collapsed="false">
      <c r="A472" s="24"/>
      <c r="B472" s="24"/>
      <c r="C472" s="9"/>
      <c r="D472" s="25"/>
      <c r="E472" s="9"/>
      <c r="F472" s="24"/>
      <c r="G472" s="9"/>
      <c r="H472" s="9"/>
      <c r="I472" s="26"/>
      <c r="J472" s="26"/>
      <c r="K472" s="26"/>
      <c r="L472" s="24"/>
      <c r="M472" s="24"/>
      <c r="N472" s="14"/>
      <c r="O472" s="14"/>
      <c r="P472" s="27" t="str">
        <f aca="false">IF(OR(N472="",O472=""),"",O472-N472)</f>
        <v/>
      </c>
      <c r="Q472" s="28" t="str">
        <f aca="false">IF(A472="","",COUNTIF($B$5:$B$500,A472))</f>
        <v/>
      </c>
      <c r="R472" s="29" t="str">
        <f aca="false">IF(A472="","",IF(Q472&gt;0,COUNTIFS($B$5:$B$500,A472,$E$5:$E$500,"Done")/Q472,IF(E472="Done",1,0)))</f>
        <v/>
      </c>
      <c r="S472" s="30" t="str">
        <f aca="true">IF(OR(A472="",E472="Done",J472=""),"",IF(J472&lt;TODAY(),"OVERDUE",IF(J472-TODAY()&lt;=7,"Due this week","")))</f>
        <v/>
      </c>
      <c r="T472" s="25"/>
    </row>
    <row r="473" customFormat="false" ht="15" hidden="false" customHeight="false" outlineLevel="0" collapsed="false">
      <c r="A473" s="24"/>
      <c r="B473" s="24"/>
      <c r="C473" s="9"/>
      <c r="D473" s="25"/>
      <c r="E473" s="9"/>
      <c r="F473" s="24"/>
      <c r="G473" s="9"/>
      <c r="H473" s="9"/>
      <c r="I473" s="26"/>
      <c r="J473" s="26"/>
      <c r="K473" s="26"/>
      <c r="L473" s="24"/>
      <c r="M473" s="24"/>
      <c r="N473" s="14"/>
      <c r="O473" s="14"/>
      <c r="P473" s="27" t="str">
        <f aca="false">IF(OR(N473="",O473=""),"",O473-N473)</f>
        <v/>
      </c>
      <c r="Q473" s="28" t="str">
        <f aca="false">IF(A473="","",COUNTIF($B$5:$B$500,A473))</f>
        <v/>
      </c>
      <c r="R473" s="29" t="str">
        <f aca="false">IF(A473="","",IF(Q473&gt;0,COUNTIFS($B$5:$B$500,A473,$E$5:$E$500,"Done")/Q473,IF(E473="Done",1,0)))</f>
        <v/>
      </c>
      <c r="S473" s="30" t="str">
        <f aca="true">IF(OR(A473="",E473="Done",J473=""),"",IF(J473&lt;TODAY(),"OVERDUE",IF(J473-TODAY()&lt;=7,"Due this week","")))</f>
        <v/>
      </c>
      <c r="T473" s="25"/>
    </row>
    <row r="474" customFormat="false" ht="15" hidden="false" customHeight="false" outlineLevel="0" collapsed="false">
      <c r="A474" s="24"/>
      <c r="B474" s="24"/>
      <c r="C474" s="9"/>
      <c r="D474" s="25"/>
      <c r="E474" s="9"/>
      <c r="F474" s="24"/>
      <c r="G474" s="9"/>
      <c r="H474" s="9"/>
      <c r="I474" s="26"/>
      <c r="J474" s="26"/>
      <c r="K474" s="26"/>
      <c r="L474" s="24"/>
      <c r="M474" s="24"/>
      <c r="N474" s="14"/>
      <c r="O474" s="14"/>
      <c r="P474" s="27" t="str">
        <f aca="false">IF(OR(N474="",O474=""),"",O474-N474)</f>
        <v/>
      </c>
      <c r="Q474" s="28" t="str">
        <f aca="false">IF(A474="","",COUNTIF($B$5:$B$500,A474))</f>
        <v/>
      </c>
      <c r="R474" s="29" t="str">
        <f aca="false">IF(A474="","",IF(Q474&gt;0,COUNTIFS($B$5:$B$500,A474,$E$5:$E$500,"Done")/Q474,IF(E474="Done",1,0)))</f>
        <v/>
      </c>
      <c r="S474" s="30" t="str">
        <f aca="true">IF(OR(A474="",E474="Done",J474=""),"",IF(J474&lt;TODAY(),"OVERDUE",IF(J474-TODAY()&lt;=7,"Due this week","")))</f>
        <v/>
      </c>
      <c r="T474" s="25"/>
    </row>
    <row r="475" customFormat="false" ht="15" hidden="false" customHeight="false" outlineLevel="0" collapsed="false">
      <c r="A475" s="24"/>
      <c r="B475" s="24"/>
      <c r="C475" s="9"/>
      <c r="D475" s="25"/>
      <c r="E475" s="9"/>
      <c r="F475" s="24"/>
      <c r="G475" s="9"/>
      <c r="H475" s="9"/>
      <c r="I475" s="26"/>
      <c r="J475" s="26"/>
      <c r="K475" s="26"/>
      <c r="L475" s="24"/>
      <c r="M475" s="24"/>
      <c r="N475" s="14"/>
      <c r="O475" s="14"/>
      <c r="P475" s="27" t="str">
        <f aca="false">IF(OR(N475="",O475=""),"",O475-N475)</f>
        <v/>
      </c>
      <c r="Q475" s="28" t="str">
        <f aca="false">IF(A475="","",COUNTIF($B$5:$B$500,A475))</f>
        <v/>
      </c>
      <c r="R475" s="29" t="str">
        <f aca="false">IF(A475="","",IF(Q475&gt;0,COUNTIFS($B$5:$B$500,A475,$E$5:$E$500,"Done")/Q475,IF(E475="Done",1,0)))</f>
        <v/>
      </c>
      <c r="S475" s="30" t="str">
        <f aca="true">IF(OR(A475="",E475="Done",J475=""),"",IF(J475&lt;TODAY(),"OVERDUE",IF(J475-TODAY()&lt;=7,"Due this week","")))</f>
        <v/>
      </c>
      <c r="T475" s="25"/>
    </row>
    <row r="476" customFormat="false" ht="15" hidden="false" customHeight="false" outlineLevel="0" collapsed="false">
      <c r="A476" s="24"/>
      <c r="B476" s="24"/>
      <c r="C476" s="9"/>
      <c r="D476" s="25"/>
      <c r="E476" s="9"/>
      <c r="F476" s="24"/>
      <c r="G476" s="9"/>
      <c r="H476" s="9"/>
      <c r="I476" s="26"/>
      <c r="J476" s="26"/>
      <c r="K476" s="26"/>
      <c r="L476" s="24"/>
      <c r="M476" s="24"/>
      <c r="N476" s="14"/>
      <c r="O476" s="14"/>
      <c r="P476" s="27" t="str">
        <f aca="false">IF(OR(N476="",O476=""),"",O476-N476)</f>
        <v/>
      </c>
      <c r="Q476" s="28" t="str">
        <f aca="false">IF(A476="","",COUNTIF($B$5:$B$500,A476))</f>
        <v/>
      </c>
      <c r="R476" s="29" t="str">
        <f aca="false">IF(A476="","",IF(Q476&gt;0,COUNTIFS($B$5:$B$500,A476,$E$5:$E$500,"Done")/Q476,IF(E476="Done",1,0)))</f>
        <v/>
      </c>
      <c r="S476" s="30" t="str">
        <f aca="true">IF(OR(A476="",E476="Done",J476=""),"",IF(J476&lt;TODAY(),"OVERDUE",IF(J476-TODAY()&lt;=7,"Due this week","")))</f>
        <v/>
      </c>
      <c r="T476" s="25"/>
    </row>
    <row r="477" customFormat="false" ht="15" hidden="false" customHeight="false" outlineLevel="0" collapsed="false">
      <c r="A477" s="24"/>
      <c r="B477" s="24"/>
      <c r="C477" s="9"/>
      <c r="D477" s="25"/>
      <c r="E477" s="9"/>
      <c r="F477" s="24"/>
      <c r="G477" s="9"/>
      <c r="H477" s="9"/>
      <c r="I477" s="26"/>
      <c r="J477" s="26"/>
      <c r="K477" s="26"/>
      <c r="L477" s="24"/>
      <c r="M477" s="24"/>
      <c r="N477" s="14"/>
      <c r="O477" s="14"/>
      <c r="P477" s="27" t="str">
        <f aca="false">IF(OR(N477="",O477=""),"",O477-N477)</f>
        <v/>
      </c>
      <c r="Q477" s="28" t="str">
        <f aca="false">IF(A477="","",COUNTIF($B$5:$B$500,A477))</f>
        <v/>
      </c>
      <c r="R477" s="29" t="str">
        <f aca="false">IF(A477="","",IF(Q477&gt;0,COUNTIFS($B$5:$B$500,A477,$E$5:$E$500,"Done")/Q477,IF(E477="Done",1,0)))</f>
        <v/>
      </c>
      <c r="S477" s="30" t="str">
        <f aca="true">IF(OR(A477="",E477="Done",J477=""),"",IF(J477&lt;TODAY(),"OVERDUE",IF(J477-TODAY()&lt;=7,"Due this week","")))</f>
        <v/>
      </c>
      <c r="T477" s="25"/>
    </row>
    <row r="478" customFormat="false" ht="15" hidden="false" customHeight="false" outlineLevel="0" collapsed="false">
      <c r="A478" s="24"/>
      <c r="B478" s="24"/>
      <c r="C478" s="9"/>
      <c r="D478" s="25"/>
      <c r="E478" s="9"/>
      <c r="F478" s="24"/>
      <c r="G478" s="9"/>
      <c r="H478" s="9"/>
      <c r="I478" s="26"/>
      <c r="J478" s="26"/>
      <c r="K478" s="26"/>
      <c r="L478" s="24"/>
      <c r="M478" s="24"/>
      <c r="N478" s="14"/>
      <c r="O478" s="14"/>
      <c r="P478" s="27" t="str">
        <f aca="false">IF(OR(N478="",O478=""),"",O478-N478)</f>
        <v/>
      </c>
      <c r="Q478" s="28" t="str">
        <f aca="false">IF(A478="","",COUNTIF($B$5:$B$500,A478))</f>
        <v/>
      </c>
      <c r="R478" s="29" t="str">
        <f aca="false">IF(A478="","",IF(Q478&gt;0,COUNTIFS($B$5:$B$500,A478,$E$5:$E$500,"Done")/Q478,IF(E478="Done",1,0)))</f>
        <v/>
      </c>
      <c r="S478" s="30" t="str">
        <f aca="true">IF(OR(A478="",E478="Done",J478=""),"",IF(J478&lt;TODAY(),"OVERDUE",IF(J478-TODAY()&lt;=7,"Due this week","")))</f>
        <v/>
      </c>
      <c r="T478" s="25"/>
    </row>
    <row r="479" customFormat="false" ht="15" hidden="false" customHeight="false" outlineLevel="0" collapsed="false">
      <c r="A479" s="24"/>
      <c r="B479" s="24"/>
      <c r="C479" s="9"/>
      <c r="D479" s="25"/>
      <c r="E479" s="9"/>
      <c r="F479" s="24"/>
      <c r="G479" s="9"/>
      <c r="H479" s="9"/>
      <c r="I479" s="26"/>
      <c r="J479" s="26"/>
      <c r="K479" s="26"/>
      <c r="L479" s="24"/>
      <c r="M479" s="24"/>
      <c r="N479" s="14"/>
      <c r="O479" s="14"/>
      <c r="P479" s="27" t="str">
        <f aca="false">IF(OR(N479="",O479=""),"",O479-N479)</f>
        <v/>
      </c>
      <c r="Q479" s="28" t="str">
        <f aca="false">IF(A479="","",COUNTIF($B$5:$B$500,A479))</f>
        <v/>
      </c>
      <c r="R479" s="29" t="str">
        <f aca="false">IF(A479="","",IF(Q479&gt;0,COUNTIFS($B$5:$B$500,A479,$E$5:$E$500,"Done")/Q479,IF(E479="Done",1,0)))</f>
        <v/>
      </c>
      <c r="S479" s="30" t="str">
        <f aca="true">IF(OR(A479="",E479="Done",J479=""),"",IF(J479&lt;TODAY(),"OVERDUE",IF(J479-TODAY()&lt;=7,"Due this week","")))</f>
        <v/>
      </c>
      <c r="T479" s="25"/>
    </row>
    <row r="480" customFormat="false" ht="15" hidden="false" customHeight="false" outlineLevel="0" collapsed="false">
      <c r="A480" s="24"/>
      <c r="B480" s="24"/>
      <c r="C480" s="9"/>
      <c r="D480" s="25"/>
      <c r="E480" s="9"/>
      <c r="F480" s="24"/>
      <c r="G480" s="9"/>
      <c r="H480" s="9"/>
      <c r="I480" s="26"/>
      <c r="J480" s="26"/>
      <c r="K480" s="26"/>
      <c r="L480" s="24"/>
      <c r="M480" s="24"/>
      <c r="N480" s="14"/>
      <c r="O480" s="14"/>
      <c r="P480" s="27" t="str">
        <f aca="false">IF(OR(N480="",O480=""),"",O480-N480)</f>
        <v/>
      </c>
      <c r="Q480" s="28" t="str">
        <f aca="false">IF(A480="","",COUNTIF($B$5:$B$500,A480))</f>
        <v/>
      </c>
      <c r="R480" s="29" t="str">
        <f aca="false">IF(A480="","",IF(Q480&gt;0,COUNTIFS($B$5:$B$500,A480,$E$5:$E$500,"Done")/Q480,IF(E480="Done",1,0)))</f>
        <v/>
      </c>
      <c r="S480" s="30" t="str">
        <f aca="true">IF(OR(A480="",E480="Done",J480=""),"",IF(J480&lt;TODAY(),"OVERDUE",IF(J480-TODAY()&lt;=7,"Due this week","")))</f>
        <v/>
      </c>
      <c r="T480" s="25"/>
    </row>
    <row r="481" customFormat="false" ht="15" hidden="false" customHeight="false" outlineLevel="0" collapsed="false">
      <c r="A481" s="24"/>
      <c r="B481" s="24"/>
      <c r="C481" s="9"/>
      <c r="D481" s="25"/>
      <c r="E481" s="9"/>
      <c r="F481" s="24"/>
      <c r="G481" s="9"/>
      <c r="H481" s="9"/>
      <c r="I481" s="26"/>
      <c r="J481" s="26"/>
      <c r="K481" s="26"/>
      <c r="L481" s="24"/>
      <c r="M481" s="24"/>
      <c r="N481" s="14"/>
      <c r="O481" s="14"/>
      <c r="P481" s="27" t="str">
        <f aca="false">IF(OR(N481="",O481=""),"",O481-N481)</f>
        <v/>
      </c>
      <c r="Q481" s="28" t="str">
        <f aca="false">IF(A481="","",COUNTIF($B$5:$B$500,A481))</f>
        <v/>
      </c>
      <c r="R481" s="29" t="str">
        <f aca="false">IF(A481="","",IF(Q481&gt;0,COUNTIFS($B$5:$B$500,A481,$E$5:$E$500,"Done")/Q481,IF(E481="Done",1,0)))</f>
        <v/>
      </c>
      <c r="S481" s="30" t="str">
        <f aca="true">IF(OR(A481="",E481="Done",J481=""),"",IF(J481&lt;TODAY(),"OVERDUE",IF(J481-TODAY()&lt;=7,"Due this week","")))</f>
        <v/>
      </c>
      <c r="T481" s="25"/>
    </row>
    <row r="482" customFormat="false" ht="15" hidden="false" customHeight="false" outlineLevel="0" collapsed="false">
      <c r="A482" s="24"/>
      <c r="B482" s="24"/>
      <c r="C482" s="9"/>
      <c r="D482" s="25"/>
      <c r="E482" s="9"/>
      <c r="F482" s="24"/>
      <c r="G482" s="9"/>
      <c r="H482" s="9"/>
      <c r="I482" s="26"/>
      <c r="J482" s="26"/>
      <c r="K482" s="26"/>
      <c r="L482" s="24"/>
      <c r="M482" s="24"/>
      <c r="N482" s="14"/>
      <c r="O482" s="14"/>
      <c r="P482" s="27" t="str">
        <f aca="false">IF(OR(N482="",O482=""),"",O482-N482)</f>
        <v/>
      </c>
      <c r="Q482" s="28" t="str">
        <f aca="false">IF(A482="","",COUNTIF($B$5:$B$500,A482))</f>
        <v/>
      </c>
      <c r="R482" s="29" t="str">
        <f aca="false">IF(A482="","",IF(Q482&gt;0,COUNTIFS($B$5:$B$500,A482,$E$5:$E$500,"Done")/Q482,IF(E482="Done",1,0)))</f>
        <v/>
      </c>
      <c r="S482" s="30" t="str">
        <f aca="true">IF(OR(A482="",E482="Done",J482=""),"",IF(J482&lt;TODAY(),"OVERDUE",IF(J482-TODAY()&lt;=7,"Due this week","")))</f>
        <v/>
      </c>
      <c r="T482" s="25"/>
    </row>
    <row r="483" customFormat="false" ht="15" hidden="false" customHeight="false" outlineLevel="0" collapsed="false">
      <c r="A483" s="24"/>
      <c r="B483" s="24"/>
      <c r="C483" s="9"/>
      <c r="D483" s="25"/>
      <c r="E483" s="9"/>
      <c r="F483" s="24"/>
      <c r="G483" s="9"/>
      <c r="H483" s="9"/>
      <c r="I483" s="26"/>
      <c r="J483" s="26"/>
      <c r="K483" s="26"/>
      <c r="L483" s="24"/>
      <c r="M483" s="24"/>
      <c r="N483" s="14"/>
      <c r="O483" s="14"/>
      <c r="P483" s="27" t="str">
        <f aca="false">IF(OR(N483="",O483=""),"",O483-N483)</f>
        <v/>
      </c>
      <c r="Q483" s="28" t="str">
        <f aca="false">IF(A483="","",COUNTIF($B$5:$B$500,A483))</f>
        <v/>
      </c>
      <c r="R483" s="29" t="str">
        <f aca="false">IF(A483="","",IF(Q483&gt;0,COUNTIFS($B$5:$B$500,A483,$E$5:$E$500,"Done")/Q483,IF(E483="Done",1,0)))</f>
        <v/>
      </c>
      <c r="S483" s="30" t="str">
        <f aca="true">IF(OR(A483="",E483="Done",J483=""),"",IF(J483&lt;TODAY(),"OVERDUE",IF(J483-TODAY()&lt;=7,"Due this week","")))</f>
        <v/>
      </c>
      <c r="T483" s="25"/>
    </row>
    <row r="484" customFormat="false" ht="15" hidden="false" customHeight="false" outlineLevel="0" collapsed="false">
      <c r="A484" s="24"/>
      <c r="B484" s="24"/>
      <c r="C484" s="9"/>
      <c r="D484" s="25"/>
      <c r="E484" s="9"/>
      <c r="F484" s="24"/>
      <c r="G484" s="9"/>
      <c r="H484" s="9"/>
      <c r="I484" s="26"/>
      <c r="J484" s="26"/>
      <c r="K484" s="26"/>
      <c r="L484" s="24"/>
      <c r="M484" s="24"/>
      <c r="N484" s="14"/>
      <c r="O484" s="14"/>
      <c r="P484" s="27" t="str">
        <f aca="false">IF(OR(N484="",O484=""),"",O484-N484)</f>
        <v/>
      </c>
      <c r="Q484" s="28" t="str">
        <f aca="false">IF(A484="","",COUNTIF($B$5:$B$500,A484))</f>
        <v/>
      </c>
      <c r="R484" s="29" t="str">
        <f aca="false">IF(A484="","",IF(Q484&gt;0,COUNTIFS($B$5:$B$500,A484,$E$5:$E$500,"Done")/Q484,IF(E484="Done",1,0)))</f>
        <v/>
      </c>
      <c r="S484" s="30" t="str">
        <f aca="true">IF(OR(A484="",E484="Done",J484=""),"",IF(J484&lt;TODAY(),"OVERDUE",IF(J484-TODAY()&lt;=7,"Due this week","")))</f>
        <v/>
      </c>
      <c r="T484" s="25"/>
    </row>
    <row r="485" customFormat="false" ht="15" hidden="false" customHeight="false" outlineLevel="0" collapsed="false">
      <c r="A485" s="24"/>
      <c r="B485" s="24"/>
      <c r="C485" s="9"/>
      <c r="D485" s="25"/>
      <c r="E485" s="9"/>
      <c r="F485" s="24"/>
      <c r="G485" s="9"/>
      <c r="H485" s="9"/>
      <c r="I485" s="26"/>
      <c r="J485" s="26"/>
      <c r="K485" s="26"/>
      <c r="L485" s="24"/>
      <c r="M485" s="24"/>
      <c r="N485" s="14"/>
      <c r="O485" s="14"/>
      <c r="P485" s="27" t="str">
        <f aca="false">IF(OR(N485="",O485=""),"",O485-N485)</f>
        <v/>
      </c>
      <c r="Q485" s="28" t="str">
        <f aca="false">IF(A485="","",COUNTIF($B$5:$B$500,A485))</f>
        <v/>
      </c>
      <c r="R485" s="29" t="str">
        <f aca="false">IF(A485="","",IF(Q485&gt;0,COUNTIFS($B$5:$B$500,A485,$E$5:$E$500,"Done")/Q485,IF(E485="Done",1,0)))</f>
        <v/>
      </c>
      <c r="S485" s="30" t="str">
        <f aca="true">IF(OR(A485="",E485="Done",J485=""),"",IF(J485&lt;TODAY(),"OVERDUE",IF(J485-TODAY()&lt;=7,"Due this week","")))</f>
        <v/>
      </c>
      <c r="T485" s="25"/>
    </row>
    <row r="486" customFormat="false" ht="15" hidden="false" customHeight="false" outlineLevel="0" collapsed="false">
      <c r="A486" s="24"/>
      <c r="B486" s="24"/>
      <c r="C486" s="9"/>
      <c r="D486" s="25"/>
      <c r="E486" s="9"/>
      <c r="F486" s="24"/>
      <c r="G486" s="9"/>
      <c r="H486" s="9"/>
      <c r="I486" s="26"/>
      <c r="J486" s="26"/>
      <c r="K486" s="26"/>
      <c r="L486" s="24"/>
      <c r="M486" s="24"/>
      <c r="N486" s="14"/>
      <c r="O486" s="14"/>
      <c r="P486" s="27" t="str">
        <f aca="false">IF(OR(N486="",O486=""),"",O486-N486)</f>
        <v/>
      </c>
      <c r="Q486" s="28" t="str">
        <f aca="false">IF(A486="","",COUNTIF($B$5:$B$500,A486))</f>
        <v/>
      </c>
      <c r="R486" s="29" t="str">
        <f aca="false">IF(A486="","",IF(Q486&gt;0,COUNTIFS($B$5:$B$500,A486,$E$5:$E$500,"Done")/Q486,IF(E486="Done",1,0)))</f>
        <v/>
      </c>
      <c r="S486" s="30" t="str">
        <f aca="true">IF(OR(A486="",E486="Done",J486=""),"",IF(J486&lt;TODAY(),"OVERDUE",IF(J486-TODAY()&lt;=7,"Due this week","")))</f>
        <v/>
      </c>
      <c r="T486" s="25"/>
    </row>
    <row r="487" customFormat="false" ht="15" hidden="false" customHeight="false" outlineLevel="0" collapsed="false">
      <c r="A487" s="24"/>
      <c r="B487" s="24"/>
      <c r="C487" s="9"/>
      <c r="D487" s="25"/>
      <c r="E487" s="9"/>
      <c r="F487" s="24"/>
      <c r="G487" s="9"/>
      <c r="H487" s="9"/>
      <c r="I487" s="26"/>
      <c r="J487" s="26"/>
      <c r="K487" s="26"/>
      <c r="L487" s="24"/>
      <c r="M487" s="24"/>
      <c r="N487" s="14"/>
      <c r="O487" s="14"/>
      <c r="P487" s="27" t="str">
        <f aca="false">IF(OR(N487="",O487=""),"",O487-N487)</f>
        <v/>
      </c>
      <c r="Q487" s="28" t="str">
        <f aca="false">IF(A487="","",COUNTIF($B$5:$B$500,A487))</f>
        <v/>
      </c>
      <c r="R487" s="29" t="str">
        <f aca="false">IF(A487="","",IF(Q487&gt;0,COUNTIFS($B$5:$B$500,A487,$E$5:$E$500,"Done")/Q487,IF(E487="Done",1,0)))</f>
        <v/>
      </c>
      <c r="S487" s="30" t="str">
        <f aca="true">IF(OR(A487="",E487="Done",J487=""),"",IF(J487&lt;TODAY(),"OVERDUE",IF(J487-TODAY()&lt;=7,"Due this week","")))</f>
        <v/>
      </c>
      <c r="T487" s="25"/>
    </row>
    <row r="488" customFormat="false" ht="15" hidden="false" customHeight="false" outlineLevel="0" collapsed="false">
      <c r="A488" s="24"/>
      <c r="B488" s="24"/>
      <c r="C488" s="9"/>
      <c r="D488" s="25"/>
      <c r="E488" s="9"/>
      <c r="F488" s="24"/>
      <c r="G488" s="9"/>
      <c r="H488" s="9"/>
      <c r="I488" s="26"/>
      <c r="J488" s="26"/>
      <c r="K488" s="26"/>
      <c r="L488" s="24"/>
      <c r="M488" s="24"/>
      <c r="N488" s="14"/>
      <c r="O488" s="14"/>
      <c r="P488" s="27" t="str">
        <f aca="false">IF(OR(N488="",O488=""),"",O488-N488)</f>
        <v/>
      </c>
      <c r="Q488" s="28" t="str">
        <f aca="false">IF(A488="","",COUNTIF($B$5:$B$500,A488))</f>
        <v/>
      </c>
      <c r="R488" s="29" t="str">
        <f aca="false">IF(A488="","",IF(Q488&gt;0,COUNTIFS($B$5:$B$500,A488,$E$5:$E$500,"Done")/Q488,IF(E488="Done",1,0)))</f>
        <v/>
      </c>
      <c r="S488" s="30" t="str">
        <f aca="true">IF(OR(A488="",E488="Done",J488=""),"",IF(J488&lt;TODAY(),"OVERDUE",IF(J488-TODAY()&lt;=7,"Due this week","")))</f>
        <v/>
      </c>
      <c r="T488" s="25"/>
    </row>
    <row r="489" customFormat="false" ht="15" hidden="false" customHeight="false" outlineLevel="0" collapsed="false">
      <c r="A489" s="24"/>
      <c r="B489" s="24"/>
      <c r="C489" s="9"/>
      <c r="D489" s="25"/>
      <c r="E489" s="9"/>
      <c r="F489" s="24"/>
      <c r="G489" s="9"/>
      <c r="H489" s="9"/>
      <c r="I489" s="26"/>
      <c r="J489" s="26"/>
      <c r="K489" s="26"/>
      <c r="L489" s="24"/>
      <c r="M489" s="24"/>
      <c r="N489" s="14"/>
      <c r="O489" s="14"/>
      <c r="P489" s="27" t="str">
        <f aca="false">IF(OR(N489="",O489=""),"",O489-N489)</f>
        <v/>
      </c>
      <c r="Q489" s="28" t="str">
        <f aca="false">IF(A489="","",COUNTIF($B$5:$B$500,A489))</f>
        <v/>
      </c>
      <c r="R489" s="29" t="str">
        <f aca="false">IF(A489="","",IF(Q489&gt;0,COUNTIFS($B$5:$B$500,A489,$E$5:$E$500,"Done")/Q489,IF(E489="Done",1,0)))</f>
        <v/>
      </c>
      <c r="S489" s="30" t="str">
        <f aca="true">IF(OR(A489="",E489="Done",J489=""),"",IF(J489&lt;TODAY(),"OVERDUE",IF(J489-TODAY()&lt;=7,"Due this week","")))</f>
        <v/>
      </c>
      <c r="T489" s="25"/>
    </row>
    <row r="490" customFormat="false" ht="15" hidden="false" customHeight="false" outlineLevel="0" collapsed="false">
      <c r="A490" s="24"/>
      <c r="B490" s="24"/>
      <c r="C490" s="9"/>
      <c r="D490" s="25"/>
      <c r="E490" s="9"/>
      <c r="F490" s="24"/>
      <c r="G490" s="9"/>
      <c r="H490" s="9"/>
      <c r="I490" s="26"/>
      <c r="J490" s="26"/>
      <c r="K490" s="26"/>
      <c r="L490" s="24"/>
      <c r="M490" s="24"/>
      <c r="N490" s="14"/>
      <c r="O490" s="14"/>
      <c r="P490" s="27" t="str">
        <f aca="false">IF(OR(N490="",O490=""),"",O490-N490)</f>
        <v/>
      </c>
      <c r="Q490" s="28" t="str">
        <f aca="false">IF(A490="","",COUNTIF($B$5:$B$500,A490))</f>
        <v/>
      </c>
      <c r="R490" s="29" t="str">
        <f aca="false">IF(A490="","",IF(Q490&gt;0,COUNTIFS($B$5:$B$500,A490,$E$5:$E$500,"Done")/Q490,IF(E490="Done",1,0)))</f>
        <v/>
      </c>
      <c r="S490" s="30" t="str">
        <f aca="true">IF(OR(A490="",E490="Done",J490=""),"",IF(J490&lt;TODAY(),"OVERDUE",IF(J490-TODAY()&lt;=7,"Due this week","")))</f>
        <v/>
      </c>
      <c r="T490" s="25"/>
    </row>
    <row r="491" customFormat="false" ht="15" hidden="false" customHeight="false" outlineLevel="0" collapsed="false">
      <c r="A491" s="24"/>
      <c r="B491" s="24"/>
      <c r="C491" s="9"/>
      <c r="D491" s="25"/>
      <c r="E491" s="9"/>
      <c r="F491" s="24"/>
      <c r="G491" s="9"/>
      <c r="H491" s="9"/>
      <c r="I491" s="26"/>
      <c r="J491" s="26"/>
      <c r="K491" s="26"/>
      <c r="L491" s="24"/>
      <c r="M491" s="24"/>
      <c r="N491" s="14"/>
      <c r="O491" s="14"/>
      <c r="P491" s="27" t="str">
        <f aca="false">IF(OR(N491="",O491=""),"",O491-N491)</f>
        <v/>
      </c>
      <c r="Q491" s="28" t="str">
        <f aca="false">IF(A491="","",COUNTIF($B$5:$B$500,A491))</f>
        <v/>
      </c>
      <c r="R491" s="29" t="str">
        <f aca="false">IF(A491="","",IF(Q491&gt;0,COUNTIFS($B$5:$B$500,A491,$E$5:$E$500,"Done")/Q491,IF(E491="Done",1,0)))</f>
        <v/>
      </c>
      <c r="S491" s="30" t="str">
        <f aca="true">IF(OR(A491="",E491="Done",J491=""),"",IF(J491&lt;TODAY(),"OVERDUE",IF(J491-TODAY()&lt;=7,"Due this week","")))</f>
        <v/>
      </c>
      <c r="T491" s="25"/>
    </row>
    <row r="492" customFormat="false" ht="15" hidden="false" customHeight="false" outlineLevel="0" collapsed="false">
      <c r="A492" s="24"/>
      <c r="B492" s="24"/>
      <c r="C492" s="9"/>
      <c r="D492" s="25"/>
      <c r="E492" s="9"/>
      <c r="F492" s="24"/>
      <c r="G492" s="9"/>
      <c r="H492" s="9"/>
      <c r="I492" s="26"/>
      <c r="J492" s="26"/>
      <c r="K492" s="26"/>
      <c r="L492" s="24"/>
      <c r="M492" s="24"/>
      <c r="N492" s="14"/>
      <c r="O492" s="14"/>
      <c r="P492" s="27" t="str">
        <f aca="false">IF(OR(N492="",O492=""),"",O492-N492)</f>
        <v/>
      </c>
      <c r="Q492" s="28" t="str">
        <f aca="false">IF(A492="","",COUNTIF($B$5:$B$500,A492))</f>
        <v/>
      </c>
      <c r="R492" s="29" t="str">
        <f aca="false">IF(A492="","",IF(Q492&gt;0,COUNTIFS($B$5:$B$500,A492,$E$5:$E$500,"Done")/Q492,IF(E492="Done",1,0)))</f>
        <v/>
      </c>
      <c r="S492" s="30" t="str">
        <f aca="true">IF(OR(A492="",E492="Done",J492=""),"",IF(J492&lt;TODAY(),"OVERDUE",IF(J492-TODAY()&lt;=7,"Due this week","")))</f>
        <v/>
      </c>
      <c r="T492" s="25"/>
    </row>
    <row r="493" customFormat="false" ht="15" hidden="false" customHeight="false" outlineLevel="0" collapsed="false">
      <c r="A493" s="24"/>
      <c r="B493" s="24"/>
      <c r="C493" s="9"/>
      <c r="D493" s="25"/>
      <c r="E493" s="9"/>
      <c r="F493" s="24"/>
      <c r="G493" s="9"/>
      <c r="H493" s="9"/>
      <c r="I493" s="26"/>
      <c r="J493" s="26"/>
      <c r="K493" s="26"/>
      <c r="L493" s="24"/>
      <c r="M493" s="24"/>
      <c r="N493" s="14"/>
      <c r="O493" s="14"/>
      <c r="P493" s="27" t="str">
        <f aca="false">IF(OR(N493="",O493=""),"",O493-N493)</f>
        <v/>
      </c>
      <c r="Q493" s="28" t="str">
        <f aca="false">IF(A493="","",COUNTIF($B$5:$B$500,A493))</f>
        <v/>
      </c>
      <c r="R493" s="29" t="str">
        <f aca="false">IF(A493="","",IF(Q493&gt;0,COUNTIFS($B$5:$B$500,A493,$E$5:$E$500,"Done")/Q493,IF(E493="Done",1,0)))</f>
        <v/>
      </c>
      <c r="S493" s="30" t="str">
        <f aca="true">IF(OR(A493="",E493="Done",J493=""),"",IF(J493&lt;TODAY(),"OVERDUE",IF(J493-TODAY()&lt;=7,"Due this week","")))</f>
        <v/>
      </c>
      <c r="T493" s="25"/>
    </row>
    <row r="494" customFormat="false" ht="15" hidden="false" customHeight="false" outlineLevel="0" collapsed="false">
      <c r="A494" s="24"/>
      <c r="B494" s="24"/>
      <c r="C494" s="9"/>
      <c r="D494" s="25"/>
      <c r="E494" s="9"/>
      <c r="F494" s="24"/>
      <c r="G494" s="9"/>
      <c r="H494" s="9"/>
      <c r="I494" s="26"/>
      <c r="J494" s="26"/>
      <c r="K494" s="26"/>
      <c r="L494" s="24"/>
      <c r="M494" s="24"/>
      <c r="N494" s="14"/>
      <c r="O494" s="14"/>
      <c r="P494" s="27" t="str">
        <f aca="false">IF(OR(N494="",O494=""),"",O494-N494)</f>
        <v/>
      </c>
      <c r="Q494" s="28" t="str">
        <f aca="false">IF(A494="","",COUNTIF($B$5:$B$500,A494))</f>
        <v/>
      </c>
      <c r="R494" s="29" t="str">
        <f aca="false">IF(A494="","",IF(Q494&gt;0,COUNTIFS($B$5:$B$500,A494,$E$5:$E$500,"Done")/Q494,IF(E494="Done",1,0)))</f>
        <v/>
      </c>
      <c r="S494" s="30" t="str">
        <f aca="true">IF(OR(A494="",E494="Done",J494=""),"",IF(J494&lt;TODAY(),"OVERDUE",IF(J494-TODAY()&lt;=7,"Due this week","")))</f>
        <v/>
      </c>
      <c r="T494" s="25"/>
    </row>
    <row r="495" customFormat="false" ht="15" hidden="false" customHeight="false" outlineLevel="0" collapsed="false">
      <c r="A495" s="24"/>
      <c r="B495" s="24"/>
      <c r="C495" s="9"/>
      <c r="D495" s="25"/>
      <c r="E495" s="9"/>
      <c r="F495" s="24"/>
      <c r="G495" s="9"/>
      <c r="H495" s="9"/>
      <c r="I495" s="26"/>
      <c r="J495" s="26"/>
      <c r="K495" s="26"/>
      <c r="L495" s="24"/>
      <c r="M495" s="24"/>
      <c r="N495" s="14"/>
      <c r="O495" s="14"/>
      <c r="P495" s="27" t="str">
        <f aca="false">IF(OR(N495="",O495=""),"",O495-N495)</f>
        <v/>
      </c>
      <c r="Q495" s="28" t="str">
        <f aca="false">IF(A495="","",COUNTIF($B$5:$B$500,A495))</f>
        <v/>
      </c>
      <c r="R495" s="29" t="str">
        <f aca="false">IF(A495="","",IF(Q495&gt;0,COUNTIFS($B$5:$B$500,A495,$E$5:$E$500,"Done")/Q495,IF(E495="Done",1,0)))</f>
        <v/>
      </c>
      <c r="S495" s="30" t="str">
        <f aca="true">IF(OR(A495="",E495="Done",J495=""),"",IF(J495&lt;TODAY(),"OVERDUE",IF(J495-TODAY()&lt;=7,"Due this week","")))</f>
        <v/>
      </c>
      <c r="T495" s="25"/>
    </row>
    <row r="496" customFormat="false" ht="15" hidden="false" customHeight="false" outlineLevel="0" collapsed="false">
      <c r="A496" s="24"/>
      <c r="B496" s="24"/>
      <c r="C496" s="9"/>
      <c r="D496" s="25"/>
      <c r="E496" s="9"/>
      <c r="F496" s="24"/>
      <c r="G496" s="9"/>
      <c r="H496" s="9"/>
      <c r="I496" s="26"/>
      <c r="J496" s="26"/>
      <c r="K496" s="26"/>
      <c r="L496" s="24"/>
      <c r="M496" s="24"/>
      <c r="N496" s="14"/>
      <c r="O496" s="14"/>
      <c r="P496" s="27" t="str">
        <f aca="false">IF(OR(N496="",O496=""),"",O496-N496)</f>
        <v/>
      </c>
      <c r="Q496" s="28" t="str">
        <f aca="false">IF(A496="","",COUNTIF($B$5:$B$500,A496))</f>
        <v/>
      </c>
      <c r="R496" s="29" t="str">
        <f aca="false">IF(A496="","",IF(Q496&gt;0,COUNTIFS($B$5:$B$500,A496,$E$5:$E$500,"Done")/Q496,IF(E496="Done",1,0)))</f>
        <v/>
      </c>
      <c r="S496" s="30" t="str">
        <f aca="true">IF(OR(A496="",E496="Done",J496=""),"",IF(J496&lt;TODAY(),"OVERDUE",IF(J496-TODAY()&lt;=7,"Due this week","")))</f>
        <v/>
      </c>
      <c r="T496" s="25"/>
    </row>
    <row r="497" customFormat="false" ht="15" hidden="false" customHeight="false" outlineLevel="0" collapsed="false">
      <c r="A497" s="24"/>
      <c r="B497" s="24"/>
      <c r="C497" s="9"/>
      <c r="D497" s="25"/>
      <c r="E497" s="9"/>
      <c r="F497" s="24"/>
      <c r="G497" s="9"/>
      <c r="H497" s="9"/>
      <c r="I497" s="26"/>
      <c r="J497" s="26"/>
      <c r="K497" s="26"/>
      <c r="L497" s="24"/>
      <c r="M497" s="24"/>
      <c r="N497" s="14"/>
      <c r="O497" s="14"/>
      <c r="P497" s="27" t="str">
        <f aca="false">IF(OR(N497="",O497=""),"",O497-N497)</f>
        <v/>
      </c>
      <c r="Q497" s="28" t="str">
        <f aca="false">IF(A497="","",COUNTIF($B$5:$B$500,A497))</f>
        <v/>
      </c>
      <c r="R497" s="29" t="str">
        <f aca="false">IF(A497="","",IF(Q497&gt;0,COUNTIFS($B$5:$B$500,A497,$E$5:$E$500,"Done")/Q497,IF(E497="Done",1,0)))</f>
        <v/>
      </c>
      <c r="S497" s="30" t="str">
        <f aca="true">IF(OR(A497="",E497="Done",J497=""),"",IF(J497&lt;TODAY(),"OVERDUE",IF(J497-TODAY()&lt;=7,"Due this week","")))</f>
        <v/>
      </c>
      <c r="T497" s="25"/>
    </row>
    <row r="498" customFormat="false" ht="15" hidden="false" customHeight="false" outlineLevel="0" collapsed="false">
      <c r="A498" s="24"/>
      <c r="B498" s="24"/>
      <c r="C498" s="9"/>
      <c r="D498" s="25"/>
      <c r="E498" s="9"/>
      <c r="F498" s="24"/>
      <c r="G498" s="9"/>
      <c r="H498" s="9"/>
      <c r="I498" s="26"/>
      <c r="J498" s="26"/>
      <c r="K498" s="26"/>
      <c r="L498" s="24"/>
      <c r="M498" s="24"/>
      <c r="N498" s="14"/>
      <c r="O498" s="14"/>
      <c r="P498" s="27" t="str">
        <f aca="false">IF(OR(N498="",O498=""),"",O498-N498)</f>
        <v/>
      </c>
      <c r="Q498" s="28" t="str">
        <f aca="false">IF(A498="","",COUNTIF($B$5:$B$500,A498))</f>
        <v/>
      </c>
      <c r="R498" s="29" t="str">
        <f aca="false">IF(A498="","",IF(Q498&gt;0,COUNTIFS($B$5:$B$500,A498,$E$5:$E$500,"Done")/Q498,IF(E498="Done",1,0)))</f>
        <v/>
      </c>
      <c r="S498" s="30" t="str">
        <f aca="true">IF(OR(A498="",E498="Done",J498=""),"",IF(J498&lt;TODAY(),"OVERDUE",IF(J498-TODAY()&lt;=7,"Due this week","")))</f>
        <v/>
      </c>
      <c r="T498" s="25"/>
    </row>
    <row r="499" customFormat="false" ht="15" hidden="false" customHeight="false" outlineLevel="0" collapsed="false">
      <c r="A499" s="24"/>
      <c r="B499" s="24"/>
      <c r="C499" s="9"/>
      <c r="D499" s="25"/>
      <c r="E499" s="9"/>
      <c r="F499" s="24"/>
      <c r="G499" s="9"/>
      <c r="H499" s="9"/>
      <c r="I499" s="26"/>
      <c r="J499" s="26"/>
      <c r="K499" s="26"/>
      <c r="L499" s="24"/>
      <c r="M499" s="24"/>
      <c r="N499" s="14"/>
      <c r="O499" s="14"/>
      <c r="P499" s="27" t="str">
        <f aca="false">IF(OR(N499="",O499=""),"",O499-N499)</f>
        <v/>
      </c>
      <c r="Q499" s="28" t="str">
        <f aca="false">IF(A499="","",COUNTIF($B$5:$B$500,A499))</f>
        <v/>
      </c>
      <c r="R499" s="29" t="str">
        <f aca="false">IF(A499="","",IF(Q499&gt;0,COUNTIFS($B$5:$B$500,A499,$E$5:$E$500,"Done")/Q499,IF(E499="Done",1,0)))</f>
        <v/>
      </c>
      <c r="S499" s="30" t="str">
        <f aca="true">IF(OR(A499="",E499="Done",J499=""),"",IF(J499&lt;TODAY(),"OVERDUE",IF(J499-TODAY()&lt;=7,"Due this week","")))</f>
        <v/>
      </c>
      <c r="T499" s="25"/>
    </row>
    <row r="500" customFormat="false" ht="15" hidden="false" customHeight="false" outlineLevel="0" collapsed="false">
      <c r="A500" s="24"/>
      <c r="B500" s="24"/>
      <c r="C500" s="9"/>
      <c r="D500" s="25"/>
      <c r="E500" s="9"/>
      <c r="F500" s="24"/>
      <c r="G500" s="9"/>
      <c r="H500" s="9"/>
      <c r="I500" s="26"/>
      <c r="J500" s="26"/>
      <c r="K500" s="26"/>
      <c r="L500" s="24"/>
      <c r="M500" s="24"/>
      <c r="N500" s="14"/>
      <c r="O500" s="14"/>
      <c r="P500" s="27" t="str">
        <f aca="false">IF(OR(N500="",O500=""),"",O500-N500)</f>
        <v/>
      </c>
      <c r="Q500" s="28" t="str">
        <f aca="false">IF(A500="","",COUNTIF($B$5:$B$500,A500))</f>
        <v/>
      </c>
      <c r="R500" s="29" t="str">
        <f aca="false">IF(A500="","",IF(Q500&gt;0,COUNTIFS($B$5:$B$500,A500,$E$5:$E$500,"Done")/Q500,IF(E500="Done",1,0)))</f>
        <v/>
      </c>
      <c r="S500" s="30" t="str">
        <f aca="true">IF(OR(A500="",E500="Done",J500=""),"",IF(J500&lt;TODAY(),"OVERDUE",IF(J500-TODAY()&lt;=7,"Due this week","")))</f>
        <v/>
      </c>
      <c r="T500" s="25"/>
    </row>
  </sheetData>
  <autoFilter ref="A4:T500"/>
  <mergeCells count="1">
    <mergeCell ref="A2:T2"/>
  </mergeCells>
  <conditionalFormatting sqref="A5:T500">
    <cfRule type="expression" priority="2" aboveAverage="0" equalAverage="0" bottom="0" percent="0" rank="0" text="" dxfId="6">
      <formula>$E5="Done"</formula>
    </cfRule>
    <cfRule type="expression" priority="3" aboveAverage="0" equalAverage="0" bottom="0" percent="0" rank="0" text="" dxfId="7">
      <formula>AND($A5&lt;&gt;"",$Q5&gt;0)</formula>
    </cfRule>
  </conditionalFormatting>
  <conditionalFormatting sqref="S5:S500">
    <cfRule type="expression" priority="4" aboveAverage="0" equalAverage="0" bottom="0" percent="0" rank="0" text="" dxfId="8">
      <formula>$S5="OVERDUE"</formula>
    </cfRule>
    <cfRule type="expression" priority="5" aboveAverage="0" equalAverage="0" bottom="0" percent="0" rank="0" text="" dxfId="9">
      <formula>$S5="Due this week"</formula>
    </cfRule>
  </conditionalFormatting>
  <conditionalFormatting sqref="E5:E500">
    <cfRule type="expression" priority="6" aboveAverage="0" equalAverage="0" bottom="0" percent="0" rank="0" text="" dxfId="10">
      <formula>$E5="In Progress"</formula>
    </cfRule>
    <cfRule type="expression" priority="7" aboveAverage="0" equalAverage="0" bottom="0" percent="0" rank="0" text="" dxfId="11">
      <formula>LEFT($E5,7)="Waiting"</formula>
    </cfRule>
  </conditionalFormatting>
  <dataValidations count="6">
    <dataValidation allowBlank="true" errorStyle="stop" operator="between" showDropDown="false" showErrorMessage="false" showInputMessage="false" sqref="C5:C500" type="list">
      <formula1>Lists!$A$2:$A$40</formula1>
      <formula2>0</formula2>
    </dataValidation>
    <dataValidation allowBlank="true" errorStyle="stop" operator="between" showDropDown="false" showErrorMessage="false" showInputMessage="false" sqref="E5:E500" type="list">
      <formula1>Lists!$B$2:$B$40</formula1>
      <formula2>0</formula2>
    </dataValidation>
    <dataValidation allowBlank="true" errorStyle="stop" operator="between" showDropDown="false" showErrorMessage="false" showInputMessage="false" sqref="F5:F500" type="list">
      <formula1>Lists!$C$2:$C$40</formula1>
      <formula2>0</formula2>
    </dataValidation>
    <dataValidation allowBlank="true" errorStyle="stop" operator="between" showDropDown="false" showErrorMessage="false" showInputMessage="false" sqref="G5:G500" type="list">
      <formula1>Lists!$D$2:$D$40</formula1>
      <formula2>0</formula2>
    </dataValidation>
    <dataValidation allowBlank="true" errorStyle="stop" operator="between" showDropDown="false" showErrorMessage="false" showInputMessage="false" sqref="H5:H500" type="list">
      <formula1>Lists!$E$2:$E$40</formula1>
      <formula2>0</formula2>
    </dataValidation>
    <dataValidation allowBlank="true" errorStyle="stop" operator="between" showDropDown="false" showErrorMessage="false" showInputMessage="false" sqref="M5:M500" type="list">
      <formula1>Lists!$F$2:$F$40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9.7" hidden="false" customHeight="false" outlineLevel="0" collapsed="false">
      <c r="A1" s="22" t="s">
        <v>290</v>
      </c>
    </row>
    <row r="2" customFormat="false" ht="15" hidden="false" customHeight="false" outlineLevel="0" collapsed="false">
      <c r="A2" s="2" t="s">
        <v>291</v>
      </c>
    </row>
    <row r="3" customFormat="false" ht="15" hidden="false" customHeight="false" outlineLevel="0" collapsed="false">
      <c r="A3" s="32" t="s">
        <v>292</v>
      </c>
      <c r="B3" s="32" t="s">
        <v>293</v>
      </c>
      <c r="C3" s="32" t="s">
        <v>294</v>
      </c>
      <c r="D3" s="32" t="s">
        <v>295</v>
      </c>
      <c r="E3" s="32" t="s">
        <v>296</v>
      </c>
      <c r="F3" s="32" t="s">
        <v>297</v>
      </c>
      <c r="G3" s="32" t="s">
        <v>298</v>
      </c>
      <c r="H3" s="32" t="s">
        <v>299</v>
      </c>
      <c r="I3" s="32" t="s">
        <v>300</v>
      </c>
      <c r="J3" s="32" t="s">
        <v>301</v>
      </c>
      <c r="K3" s="32" t="s">
        <v>60</v>
      </c>
    </row>
    <row r="4" customFormat="false" ht="15" hidden="false" customHeight="false" outlineLevel="0" collapsed="false">
      <c r="A4" s="33" t="s">
        <v>302</v>
      </c>
      <c r="B4" s="33" t="s">
        <v>303</v>
      </c>
      <c r="C4" s="33" t="s">
        <v>95</v>
      </c>
      <c r="D4" s="33" t="s">
        <v>304</v>
      </c>
      <c r="E4" s="33" t="s">
        <v>305</v>
      </c>
      <c r="F4" s="33" t="s">
        <v>306</v>
      </c>
      <c r="G4" s="34" t="n">
        <v>6500</v>
      </c>
      <c r="H4" s="35" t="n">
        <v>46323</v>
      </c>
      <c r="I4" s="33" t="s">
        <v>67</v>
      </c>
      <c r="J4" s="35"/>
      <c r="K4" s="33" t="s">
        <v>307</v>
      </c>
    </row>
    <row r="5" customFormat="false" ht="15" hidden="false" customHeight="false" outlineLevel="0" collapsed="false">
      <c r="A5" s="36"/>
      <c r="B5" s="36"/>
      <c r="C5" s="36"/>
      <c r="D5" s="36"/>
      <c r="E5" s="36"/>
      <c r="F5" s="36"/>
      <c r="G5" s="37"/>
      <c r="H5" s="38"/>
      <c r="I5" s="36"/>
      <c r="J5" s="38"/>
      <c r="K5" s="36"/>
    </row>
    <row r="6" customFormat="false" ht="15" hidden="false" customHeight="false" outlineLevel="0" collapsed="false">
      <c r="A6" s="36"/>
      <c r="B6" s="36"/>
      <c r="C6" s="36"/>
      <c r="D6" s="36"/>
      <c r="E6" s="36"/>
      <c r="F6" s="36"/>
      <c r="G6" s="37"/>
      <c r="H6" s="38"/>
      <c r="I6" s="36"/>
      <c r="J6" s="38"/>
      <c r="K6" s="36"/>
    </row>
    <row r="7" customFormat="false" ht="15" hidden="false" customHeight="false" outlineLevel="0" collapsed="false">
      <c r="A7" s="36"/>
      <c r="B7" s="36"/>
      <c r="C7" s="36"/>
      <c r="D7" s="36"/>
      <c r="E7" s="36"/>
      <c r="F7" s="36"/>
      <c r="G7" s="37"/>
      <c r="H7" s="38"/>
      <c r="I7" s="36"/>
      <c r="J7" s="38"/>
      <c r="K7" s="36"/>
    </row>
    <row r="8" customFormat="false" ht="15" hidden="false" customHeight="false" outlineLevel="0" collapsed="false">
      <c r="A8" s="36"/>
      <c r="B8" s="36"/>
      <c r="C8" s="36"/>
      <c r="D8" s="36"/>
      <c r="E8" s="36"/>
      <c r="F8" s="36"/>
      <c r="G8" s="37"/>
      <c r="H8" s="38"/>
      <c r="I8" s="36"/>
      <c r="J8" s="38"/>
      <c r="K8" s="36"/>
    </row>
    <row r="9" customFormat="false" ht="15" hidden="false" customHeight="false" outlineLevel="0" collapsed="false">
      <c r="A9" s="36"/>
      <c r="B9" s="36"/>
      <c r="C9" s="36"/>
      <c r="D9" s="36"/>
      <c r="E9" s="36"/>
      <c r="F9" s="36"/>
      <c r="G9" s="37"/>
      <c r="H9" s="38"/>
      <c r="I9" s="36"/>
      <c r="J9" s="38"/>
      <c r="K9" s="36"/>
    </row>
    <row r="10" customFormat="false" ht="15" hidden="false" customHeight="false" outlineLevel="0" collapsed="false">
      <c r="A10" s="36"/>
      <c r="B10" s="36"/>
      <c r="C10" s="36"/>
      <c r="D10" s="36"/>
      <c r="E10" s="36"/>
      <c r="F10" s="36"/>
      <c r="G10" s="37"/>
      <c r="H10" s="38"/>
      <c r="I10" s="36"/>
      <c r="J10" s="38"/>
      <c r="K10" s="36"/>
    </row>
    <row r="11" customFormat="false" ht="15" hidden="false" customHeight="false" outlineLevel="0" collapsed="false">
      <c r="A11" s="36"/>
      <c r="B11" s="36"/>
      <c r="C11" s="36"/>
      <c r="D11" s="36"/>
      <c r="E11" s="36"/>
      <c r="F11" s="36"/>
      <c r="G11" s="37"/>
      <c r="H11" s="38"/>
      <c r="I11" s="36"/>
      <c r="J11" s="38"/>
      <c r="K11" s="36"/>
    </row>
    <row r="12" customFormat="false" ht="15" hidden="false" customHeight="false" outlineLevel="0" collapsed="false">
      <c r="A12" s="36"/>
      <c r="B12" s="36"/>
      <c r="C12" s="36"/>
      <c r="D12" s="36"/>
      <c r="E12" s="36"/>
      <c r="F12" s="36"/>
      <c r="G12" s="37"/>
      <c r="H12" s="38"/>
      <c r="I12" s="36"/>
      <c r="J12" s="38"/>
      <c r="K12" s="36"/>
    </row>
    <row r="13" customFormat="false" ht="15" hidden="false" customHeight="false" outlineLevel="0" collapsed="false">
      <c r="A13" s="36"/>
      <c r="B13" s="36"/>
      <c r="C13" s="36"/>
      <c r="D13" s="36"/>
      <c r="E13" s="36"/>
      <c r="F13" s="36"/>
      <c r="G13" s="37"/>
      <c r="H13" s="38"/>
      <c r="I13" s="36"/>
      <c r="J13" s="38"/>
      <c r="K13" s="36"/>
    </row>
    <row r="14" customFormat="false" ht="15" hidden="false" customHeight="false" outlineLevel="0" collapsed="false">
      <c r="A14" s="36"/>
      <c r="B14" s="36"/>
      <c r="C14" s="36"/>
      <c r="D14" s="36"/>
      <c r="E14" s="36"/>
      <c r="F14" s="36"/>
      <c r="G14" s="37"/>
      <c r="H14" s="38"/>
      <c r="I14" s="36"/>
      <c r="J14" s="38"/>
      <c r="K14" s="36"/>
    </row>
    <row r="15" customFormat="false" ht="15" hidden="false" customHeight="false" outlineLevel="0" collapsed="false">
      <c r="A15" s="36"/>
      <c r="B15" s="36"/>
      <c r="C15" s="36"/>
      <c r="D15" s="36"/>
      <c r="E15" s="36"/>
      <c r="F15" s="36"/>
      <c r="G15" s="37"/>
      <c r="H15" s="38"/>
      <c r="I15" s="36"/>
      <c r="J15" s="38"/>
      <c r="K15" s="36"/>
    </row>
    <row r="16" customFormat="false" ht="15" hidden="false" customHeight="false" outlineLevel="0" collapsed="false">
      <c r="A16" s="36"/>
      <c r="B16" s="36"/>
      <c r="C16" s="36"/>
      <c r="D16" s="36"/>
      <c r="E16" s="36"/>
      <c r="F16" s="36"/>
      <c r="G16" s="37"/>
      <c r="H16" s="38"/>
      <c r="I16" s="36"/>
      <c r="J16" s="38"/>
      <c r="K16" s="36"/>
    </row>
    <row r="17" customFormat="false" ht="15" hidden="false" customHeight="false" outlineLevel="0" collapsed="false">
      <c r="A17" s="36"/>
      <c r="B17" s="36"/>
      <c r="C17" s="36"/>
      <c r="D17" s="36"/>
      <c r="E17" s="36"/>
      <c r="F17" s="36"/>
      <c r="G17" s="37"/>
      <c r="H17" s="38"/>
      <c r="I17" s="36"/>
      <c r="J17" s="38"/>
      <c r="K17" s="36"/>
    </row>
    <row r="18" customFormat="false" ht="15" hidden="false" customHeight="false" outlineLevel="0" collapsed="false">
      <c r="A18" s="36"/>
      <c r="B18" s="36"/>
      <c r="C18" s="36"/>
      <c r="D18" s="36"/>
      <c r="E18" s="36"/>
      <c r="F18" s="36"/>
      <c r="G18" s="37"/>
      <c r="H18" s="38"/>
      <c r="I18" s="36"/>
      <c r="J18" s="38"/>
      <c r="K18" s="36"/>
    </row>
    <row r="19" customFormat="false" ht="15" hidden="false" customHeight="false" outlineLevel="0" collapsed="false">
      <c r="A19" s="36"/>
      <c r="B19" s="36"/>
      <c r="C19" s="36"/>
      <c r="D19" s="36"/>
      <c r="E19" s="36"/>
      <c r="F19" s="36"/>
      <c r="G19" s="37"/>
      <c r="H19" s="38"/>
      <c r="I19" s="36"/>
      <c r="J19" s="38"/>
      <c r="K19" s="36"/>
    </row>
    <row r="20" customFormat="false" ht="15" hidden="false" customHeight="false" outlineLevel="0" collapsed="false">
      <c r="A20" s="36"/>
      <c r="B20" s="36"/>
      <c r="C20" s="36"/>
      <c r="D20" s="36"/>
      <c r="E20" s="36"/>
      <c r="F20" s="36"/>
      <c r="G20" s="37"/>
      <c r="H20" s="38"/>
      <c r="I20" s="36"/>
      <c r="J20" s="38"/>
      <c r="K20" s="36"/>
    </row>
    <row r="21" customFormat="false" ht="15" hidden="false" customHeight="false" outlineLevel="0" collapsed="false">
      <c r="A21" s="36"/>
      <c r="B21" s="36"/>
      <c r="C21" s="36"/>
      <c r="D21" s="36"/>
      <c r="E21" s="36"/>
      <c r="F21" s="36"/>
      <c r="G21" s="37"/>
      <c r="H21" s="38"/>
      <c r="I21" s="36"/>
      <c r="J21" s="38"/>
      <c r="K21" s="36"/>
    </row>
    <row r="22" customFormat="false" ht="15" hidden="false" customHeight="false" outlineLevel="0" collapsed="false">
      <c r="A22" s="36"/>
      <c r="B22" s="36"/>
      <c r="C22" s="36"/>
      <c r="D22" s="36"/>
      <c r="E22" s="36"/>
      <c r="F22" s="36"/>
      <c r="G22" s="37"/>
      <c r="H22" s="38"/>
      <c r="I22" s="36"/>
      <c r="J22" s="38"/>
      <c r="K22" s="36"/>
    </row>
    <row r="23" customFormat="false" ht="15" hidden="false" customHeight="false" outlineLevel="0" collapsed="false">
      <c r="A23" s="36"/>
      <c r="B23" s="36"/>
      <c r="C23" s="36"/>
      <c r="D23" s="36"/>
      <c r="E23" s="36"/>
      <c r="F23" s="36"/>
      <c r="G23" s="37"/>
      <c r="H23" s="38"/>
      <c r="I23" s="36"/>
      <c r="J23" s="38"/>
      <c r="K23" s="36"/>
    </row>
    <row r="24" customFormat="false" ht="15" hidden="false" customHeight="false" outlineLevel="0" collapsed="false">
      <c r="A24" s="36"/>
      <c r="B24" s="36"/>
      <c r="C24" s="36"/>
      <c r="D24" s="36"/>
      <c r="E24" s="36"/>
      <c r="F24" s="36"/>
      <c r="G24" s="37"/>
      <c r="H24" s="38"/>
      <c r="I24" s="36"/>
      <c r="J24" s="38"/>
      <c r="K24" s="36"/>
    </row>
    <row r="25" customFormat="false" ht="15" hidden="false" customHeight="false" outlineLevel="0" collapsed="false">
      <c r="A25" s="36"/>
      <c r="B25" s="36"/>
      <c r="C25" s="36"/>
      <c r="D25" s="36"/>
      <c r="E25" s="36"/>
      <c r="F25" s="36"/>
      <c r="G25" s="37"/>
      <c r="H25" s="38"/>
      <c r="I25" s="36"/>
      <c r="J25" s="38"/>
      <c r="K25" s="36"/>
    </row>
    <row r="26" customFormat="false" ht="15" hidden="false" customHeight="false" outlineLevel="0" collapsed="false">
      <c r="A26" s="36"/>
      <c r="B26" s="36"/>
      <c r="C26" s="36"/>
      <c r="D26" s="36"/>
      <c r="E26" s="36"/>
      <c r="F26" s="36"/>
      <c r="G26" s="37"/>
      <c r="H26" s="38"/>
      <c r="I26" s="36"/>
      <c r="J26" s="38"/>
      <c r="K26" s="36"/>
    </row>
    <row r="27" customFormat="false" ht="15" hidden="false" customHeight="false" outlineLevel="0" collapsed="false">
      <c r="A27" s="36"/>
      <c r="B27" s="36"/>
      <c r="C27" s="36"/>
      <c r="D27" s="36"/>
      <c r="E27" s="36"/>
      <c r="F27" s="36"/>
      <c r="G27" s="37"/>
      <c r="H27" s="38"/>
      <c r="I27" s="36"/>
      <c r="J27" s="38"/>
      <c r="K27" s="36"/>
    </row>
    <row r="28" customFormat="false" ht="15" hidden="false" customHeight="false" outlineLevel="0" collapsed="false">
      <c r="A28" s="36"/>
      <c r="B28" s="36"/>
      <c r="C28" s="36"/>
      <c r="D28" s="36"/>
      <c r="E28" s="36"/>
      <c r="F28" s="36"/>
      <c r="G28" s="37"/>
      <c r="H28" s="38"/>
      <c r="I28" s="36"/>
      <c r="J28" s="38"/>
      <c r="K28" s="36"/>
    </row>
    <row r="29" customFormat="false" ht="15" hidden="false" customHeight="false" outlineLevel="0" collapsed="false">
      <c r="A29" s="36"/>
      <c r="B29" s="36"/>
      <c r="C29" s="36"/>
      <c r="D29" s="36"/>
      <c r="E29" s="36"/>
      <c r="F29" s="36"/>
      <c r="G29" s="37"/>
      <c r="H29" s="38"/>
      <c r="I29" s="36"/>
      <c r="J29" s="38"/>
      <c r="K29" s="36"/>
    </row>
    <row r="30" customFormat="false" ht="15" hidden="false" customHeight="false" outlineLevel="0" collapsed="false">
      <c r="A30" s="36"/>
      <c r="B30" s="36"/>
      <c r="C30" s="36"/>
      <c r="D30" s="36"/>
      <c r="E30" s="36"/>
      <c r="F30" s="36"/>
      <c r="G30" s="37"/>
      <c r="H30" s="38"/>
      <c r="I30" s="36"/>
      <c r="J30" s="38"/>
      <c r="K30" s="36"/>
    </row>
    <row r="31" customFormat="false" ht="15" hidden="false" customHeight="false" outlineLevel="0" collapsed="false">
      <c r="A31" s="36"/>
      <c r="B31" s="36"/>
      <c r="C31" s="36"/>
      <c r="D31" s="36"/>
      <c r="E31" s="36"/>
      <c r="F31" s="36"/>
      <c r="G31" s="37"/>
      <c r="H31" s="38"/>
      <c r="I31" s="36"/>
      <c r="J31" s="38"/>
      <c r="K31" s="36"/>
    </row>
    <row r="32" customFormat="false" ht="15" hidden="false" customHeight="false" outlineLevel="0" collapsed="false">
      <c r="A32" s="36"/>
      <c r="B32" s="36"/>
      <c r="C32" s="36"/>
      <c r="D32" s="36"/>
      <c r="E32" s="36"/>
      <c r="F32" s="36"/>
      <c r="G32" s="37"/>
      <c r="H32" s="38"/>
      <c r="I32" s="36"/>
      <c r="J32" s="38"/>
      <c r="K32" s="36"/>
    </row>
    <row r="33" customFormat="false" ht="15" hidden="false" customHeight="false" outlineLevel="0" collapsed="false">
      <c r="A33" s="36"/>
      <c r="B33" s="36"/>
      <c r="C33" s="36"/>
      <c r="D33" s="36"/>
      <c r="E33" s="36"/>
      <c r="F33" s="36"/>
      <c r="G33" s="37"/>
      <c r="H33" s="38"/>
      <c r="I33" s="36"/>
      <c r="J33" s="38"/>
      <c r="K33" s="36"/>
    </row>
    <row r="34" customFormat="false" ht="15" hidden="false" customHeight="false" outlineLevel="0" collapsed="false">
      <c r="A34" s="36"/>
      <c r="B34" s="36"/>
      <c r="C34" s="36"/>
      <c r="D34" s="36"/>
      <c r="E34" s="36"/>
      <c r="F34" s="36"/>
      <c r="G34" s="37"/>
      <c r="H34" s="38"/>
      <c r="I34" s="36"/>
      <c r="J34" s="38"/>
      <c r="K34" s="36"/>
    </row>
    <row r="35" customFormat="false" ht="15" hidden="false" customHeight="false" outlineLevel="0" collapsed="false">
      <c r="A35" s="36"/>
      <c r="B35" s="36"/>
      <c r="C35" s="36"/>
      <c r="D35" s="36"/>
      <c r="E35" s="36"/>
      <c r="F35" s="36"/>
      <c r="G35" s="37"/>
      <c r="H35" s="38"/>
      <c r="I35" s="36"/>
      <c r="J35" s="38"/>
      <c r="K35" s="36"/>
    </row>
    <row r="36" customFormat="false" ht="15" hidden="false" customHeight="false" outlineLevel="0" collapsed="false">
      <c r="A36" s="36"/>
      <c r="B36" s="36"/>
      <c r="C36" s="36"/>
      <c r="D36" s="36"/>
      <c r="E36" s="36"/>
      <c r="F36" s="36"/>
      <c r="G36" s="37"/>
      <c r="H36" s="38"/>
      <c r="I36" s="36"/>
      <c r="J36" s="38"/>
      <c r="K36" s="36"/>
    </row>
    <row r="37" customFormat="false" ht="15" hidden="false" customHeight="false" outlineLevel="0" collapsed="false">
      <c r="A37" s="36"/>
      <c r="B37" s="36"/>
      <c r="C37" s="36"/>
      <c r="D37" s="36"/>
      <c r="E37" s="36"/>
      <c r="F37" s="36"/>
      <c r="G37" s="37"/>
      <c r="H37" s="38"/>
      <c r="I37" s="36"/>
      <c r="J37" s="38"/>
      <c r="K37" s="36"/>
    </row>
    <row r="38" customFormat="false" ht="15" hidden="false" customHeight="false" outlineLevel="0" collapsed="false">
      <c r="A38" s="36"/>
      <c r="B38" s="36"/>
      <c r="C38" s="36"/>
      <c r="D38" s="36"/>
      <c r="E38" s="36"/>
      <c r="F38" s="36"/>
      <c r="G38" s="37"/>
      <c r="H38" s="38"/>
      <c r="I38" s="36"/>
      <c r="J38" s="38"/>
      <c r="K38" s="36"/>
    </row>
    <row r="39" customFormat="false" ht="15" hidden="false" customHeight="false" outlineLevel="0" collapsed="false">
      <c r="A39" s="36"/>
      <c r="B39" s="36"/>
      <c r="C39" s="36"/>
      <c r="D39" s="36"/>
      <c r="E39" s="36"/>
      <c r="F39" s="36"/>
      <c r="G39" s="37"/>
      <c r="H39" s="38"/>
      <c r="I39" s="36"/>
      <c r="J39" s="38"/>
      <c r="K39" s="36"/>
    </row>
    <row r="40" customFormat="false" ht="15" hidden="false" customHeight="false" outlineLevel="0" collapsed="false">
      <c r="A40" s="36"/>
      <c r="B40" s="36"/>
      <c r="C40" s="36"/>
      <c r="D40" s="36"/>
      <c r="E40" s="36"/>
      <c r="F40" s="36"/>
      <c r="G40" s="37"/>
      <c r="H40" s="38"/>
      <c r="I40" s="36"/>
      <c r="J40" s="38"/>
      <c r="K40" s="36"/>
    </row>
    <row r="41" customFormat="false" ht="15" hidden="false" customHeight="false" outlineLevel="0" collapsed="false">
      <c r="A41" s="36"/>
      <c r="B41" s="36"/>
      <c r="C41" s="36"/>
      <c r="D41" s="36"/>
      <c r="E41" s="36"/>
      <c r="F41" s="36"/>
      <c r="G41" s="37"/>
      <c r="H41" s="38"/>
      <c r="I41" s="36"/>
      <c r="J41" s="38"/>
      <c r="K41" s="36"/>
    </row>
    <row r="42" customFormat="false" ht="15" hidden="false" customHeight="false" outlineLevel="0" collapsed="false">
      <c r="A42" s="36"/>
      <c r="B42" s="36"/>
      <c r="C42" s="36"/>
      <c r="D42" s="36"/>
      <c r="E42" s="36"/>
      <c r="F42" s="36"/>
      <c r="G42" s="37"/>
      <c r="H42" s="38"/>
      <c r="I42" s="36"/>
      <c r="J42" s="38"/>
      <c r="K42" s="36"/>
    </row>
    <row r="43" customFormat="false" ht="15" hidden="false" customHeight="false" outlineLevel="0" collapsed="false">
      <c r="A43" s="36"/>
      <c r="B43" s="36"/>
      <c r="C43" s="36"/>
      <c r="D43" s="36"/>
      <c r="E43" s="36"/>
      <c r="F43" s="36"/>
      <c r="G43" s="37"/>
      <c r="H43" s="38"/>
      <c r="I43" s="36"/>
      <c r="J43" s="38"/>
      <c r="K43" s="36"/>
    </row>
    <row r="44" customFormat="false" ht="15" hidden="false" customHeight="false" outlineLevel="0" collapsed="false">
      <c r="A44" s="36"/>
      <c r="B44" s="36"/>
      <c r="C44" s="36"/>
      <c r="D44" s="36"/>
      <c r="E44" s="36"/>
      <c r="F44" s="36"/>
      <c r="G44" s="37"/>
      <c r="H44" s="38"/>
      <c r="I44" s="36"/>
      <c r="J44" s="38"/>
      <c r="K44" s="36"/>
    </row>
    <row r="45" customFormat="false" ht="15" hidden="false" customHeight="false" outlineLevel="0" collapsed="false">
      <c r="A45" s="36"/>
      <c r="B45" s="36"/>
      <c r="C45" s="36"/>
      <c r="D45" s="36"/>
      <c r="E45" s="36"/>
      <c r="F45" s="36"/>
      <c r="G45" s="37"/>
      <c r="H45" s="38"/>
      <c r="I45" s="36"/>
      <c r="J45" s="38"/>
      <c r="K45" s="36"/>
    </row>
    <row r="46" customFormat="false" ht="15" hidden="false" customHeight="false" outlineLevel="0" collapsed="false">
      <c r="A46" s="36"/>
      <c r="B46" s="36"/>
      <c r="C46" s="36"/>
      <c r="D46" s="36"/>
      <c r="E46" s="36"/>
      <c r="F46" s="36"/>
      <c r="G46" s="37"/>
      <c r="H46" s="38"/>
      <c r="I46" s="36"/>
      <c r="J46" s="38"/>
      <c r="K46" s="36"/>
    </row>
    <row r="47" customFormat="false" ht="15" hidden="false" customHeight="false" outlineLevel="0" collapsed="false">
      <c r="A47" s="36"/>
      <c r="B47" s="36"/>
      <c r="C47" s="36"/>
      <c r="D47" s="36"/>
      <c r="E47" s="36"/>
      <c r="F47" s="36"/>
      <c r="G47" s="37"/>
      <c r="H47" s="38"/>
      <c r="I47" s="36"/>
      <c r="J47" s="38"/>
      <c r="K47" s="36"/>
    </row>
    <row r="48" customFormat="false" ht="15" hidden="false" customHeight="false" outlineLevel="0" collapsed="false">
      <c r="A48" s="36"/>
      <c r="B48" s="36"/>
      <c r="C48" s="36"/>
      <c r="D48" s="36"/>
      <c r="E48" s="36"/>
      <c r="F48" s="36"/>
      <c r="G48" s="37"/>
      <c r="H48" s="38"/>
      <c r="I48" s="36"/>
      <c r="J48" s="38"/>
      <c r="K48" s="36"/>
    </row>
    <row r="49" customFormat="false" ht="15" hidden="false" customHeight="false" outlineLevel="0" collapsed="false">
      <c r="A49" s="36"/>
      <c r="B49" s="36"/>
      <c r="C49" s="36"/>
      <c r="D49" s="36"/>
      <c r="E49" s="36"/>
      <c r="F49" s="36"/>
      <c r="G49" s="37"/>
      <c r="H49" s="38"/>
      <c r="I49" s="36"/>
      <c r="J49" s="38"/>
      <c r="K49" s="36"/>
    </row>
    <row r="50" customFormat="false" ht="15" hidden="false" customHeight="false" outlineLevel="0" collapsed="false">
      <c r="A50" s="36"/>
      <c r="B50" s="36"/>
      <c r="C50" s="36"/>
      <c r="D50" s="36"/>
      <c r="E50" s="36"/>
      <c r="F50" s="36"/>
      <c r="G50" s="37"/>
      <c r="H50" s="38"/>
      <c r="I50" s="36"/>
      <c r="J50" s="38"/>
      <c r="K50" s="36"/>
    </row>
    <row r="51" customFormat="false" ht="15" hidden="false" customHeight="false" outlineLevel="0" collapsed="false">
      <c r="A51" s="36"/>
      <c r="B51" s="36"/>
      <c r="C51" s="36"/>
      <c r="D51" s="36"/>
      <c r="E51" s="36"/>
      <c r="F51" s="36"/>
      <c r="G51" s="37"/>
      <c r="H51" s="38"/>
      <c r="I51" s="36"/>
      <c r="J51" s="38"/>
      <c r="K51" s="36"/>
    </row>
    <row r="52" customFormat="false" ht="15" hidden="false" customHeight="false" outlineLevel="0" collapsed="false">
      <c r="A52" s="36"/>
      <c r="B52" s="36"/>
      <c r="C52" s="36"/>
      <c r="D52" s="36"/>
      <c r="E52" s="36"/>
      <c r="F52" s="36"/>
      <c r="G52" s="37"/>
      <c r="H52" s="38"/>
      <c r="I52" s="36"/>
      <c r="J52" s="38"/>
      <c r="K52" s="36"/>
    </row>
    <row r="53" customFormat="false" ht="15" hidden="false" customHeight="false" outlineLevel="0" collapsed="false">
      <c r="A53" s="36"/>
      <c r="B53" s="36"/>
      <c r="C53" s="36"/>
      <c r="D53" s="36"/>
      <c r="E53" s="36"/>
      <c r="F53" s="36"/>
      <c r="G53" s="37"/>
      <c r="H53" s="38"/>
      <c r="I53" s="36"/>
      <c r="J53" s="38"/>
      <c r="K53" s="36"/>
    </row>
    <row r="54" customFormat="false" ht="15" hidden="false" customHeight="false" outlineLevel="0" collapsed="false">
      <c r="A54" s="36"/>
      <c r="B54" s="36"/>
      <c r="C54" s="36"/>
      <c r="D54" s="36"/>
      <c r="E54" s="36"/>
      <c r="F54" s="36"/>
      <c r="G54" s="37"/>
      <c r="H54" s="38"/>
      <c r="I54" s="36"/>
      <c r="J54" s="38"/>
      <c r="K54" s="36"/>
    </row>
    <row r="55" customFormat="false" ht="15" hidden="false" customHeight="false" outlineLevel="0" collapsed="false">
      <c r="A55" s="36"/>
      <c r="B55" s="36"/>
      <c r="C55" s="36"/>
      <c r="D55" s="36"/>
      <c r="E55" s="36"/>
      <c r="F55" s="36"/>
      <c r="G55" s="37"/>
      <c r="H55" s="38"/>
      <c r="I55" s="36"/>
      <c r="J55" s="38"/>
      <c r="K55" s="36"/>
    </row>
    <row r="56" customFormat="false" ht="15" hidden="false" customHeight="false" outlineLevel="0" collapsed="false">
      <c r="A56" s="36"/>
      <c r="B56" s="36"/>
      <c r="C56" s="36"/>
      <c r="D56" s="36"/>
      <c r="E56" s="36"/>
      <c r="F56" s="36"/>
      <c r="G56" s="37"/>
      <c r="H56" s="38"/>
      <c r="I56" s="36"/>
      <c r="J56" s="38"/>
      <c r="K56" s="36"/>
    </row>
    <row r="57" customFormat="false" ht="15" hidden="false" customHeight="false" outlineLevel="0" collapsed="false">
      <c r="A57" s="36"/>
      <c r="B57" s="36"/>
      <c r="C57" s="36"/>
      <c r="D57" s="36"/>
      <c r="E57" s="36"/>
      <c r="F57" s="36"/>
      <c r="G57" s="37"/>
      <c r="H57" s="38"/>
      <c r="I57" s="36"/>
      <c r="J57" s="38"/>
      <c r="K57" s="36"/>
    </row>
    <row r="58" customFormat="false" ht="15" hidden="false" customHeight="false" outlineLevel="0" collapsed="false">
      <c r="A58" s="36"/>
      <c r="B58" s="36"/>
      <c r="C58" s="36"/>
      <c r="D58" s="36"/>
      <c r="E58" s="36"/>
      <c r="F58" s="36"/>
      <c r="G58" s="37"/>
      <c r="H58" s="38"/>
      <c r="I58" s="36"/>
      <c r="J58" s="38"/>
      <c r="K58" s="36"/>
    </row>
    <row r="59" customFormat="false" ht="15" hidden="false" customHeight="false" outlineLevel="0" collapsed="false">
      <c r="A59" s="36"/>
      <c r="B59" s="36"/>
      <c r="C59" s="36"/>
      <c r="D59" s="36"/>
      <c r="E59" s="36"/>
      <c r="F59" s="36"/>
      <c r="G59" s="37"/>
      <c r="H59" s="38"/>
      <c r="I59" s="36"/>
      <c r="J59" s="38"/>
      <c r="K59" s="36"/>
    </row>
    <row r="60" customFormat="false" ht="15" hidden="false" customHeight="false" outlineLevel="0" collapsed="false">
      <c r="A60" s="36"/>
      <c r="B60" s="36"/>
      <c r="C60" s="36"/>
      <c r="D60" s="36"/>
      <c r="E60" s="36"/>
      <c r="F60" s="36"/>
      <c r="G60" s="37"/>
      <c r="H60" s="38"/>
      <c r="I60" s="36"/>
      <c r="J60" s="38"/>
      <c r="K60" s="36"/>
    </row>
    <row r="61" customFormat="false" ht="15" hidden="false" customHeight="false" outlineLevel="0" collapsed="false">
      <c r="A61" s="36"/>
      <c r="B61" s="36"/>
      <c r="C61" s="36"/>
      <c r="D61" s="36"/>
      <c r="E61" s="36"/>
      <c r="F61" s="36"/>
      <c r="G61" s="37"/>
      <c r="H61" s="38"/>
      <c r="I61" s="36"/>
      <c r="J61" s="38"/>
      <c r="K61" s="36"/>
    </row>
    <row r="62" customFormat="false" ht="15" hidden="false" customHeight="false" outlineLevel="0" collapsed="false">
      <c r="A62" s="36"/>
      <c r="B62" s="36"/>
      <c r="C62" s="36"/>
      <c r="D62" s="36"/>
      <c r="E62" s="36"/>
      <c r="F62" s="36"/>
      <c r="G62" s="37"/>
      <c r="H62" s="38"/>
      <c r="I62" s="36"/>
      <c r="J62" s="38"/>
      <c r="K62" s="36"/>
    </row>
    <row r="63" customFormat="false" ht="15" hidden="false" customHeight="false" outlineLevel="0" collapsed="false">
      <c r="A63" s="36"/>
      <c r="B63" s="36"/>
      <c r="C63" s="36"/>
      <c r="D63" s="36"/>
      <c r="E63" s="36"/>
      <c r="F63" s="36"/>
      <c r="G63" s="37"/>
      <c r="H63" s="38"/>
      <c r="I63" s="36"/>
      <c r="J63" s="38"/>
      <c r="K63" s="36"/>
    </row>
    <row r="64" customFormat="false" ht="15" hidden="false" customHeight="false" outlineLevel="0" collapsed="false">
      <c r="A64" s="36"/>
      <c r="B64" s="36"/>
      <c r="C64" s="36"/>
      <c r="D64" s="36"/>
      <c r="E64" s="36"/>
      <c r="F64" s="36"/>
      <c r="G64" s="37"/>
      <c r="H64" s="38"/>
      <c r="I64" s="36"/>
      <c r="J64" s="38"/>
      <c r="K64" s="36"/>
    </row>
    <row r="65" customFormat="false" ht="15" hidden="false" customHeight="false" outlineLevel="0" collapsed="false">
      <c r="A65" s="36"/>
      <c r="B65" s="36"/>
      <c r="C65" s="36"/>
      <c r="D65" s="36"/>
      <c r="E65" s="36"/>
      <c r="F65" s="36"/>
      <c r="G65" s="37"/>
      <c r="H65" s="38"/>
      <c r="I65" s="36"/>
      <c r="J65" s="38"/>
      <c r="K65" s="36"/>
    </row>
    <row r="66" customFormat="false" ht="15" hidden="false" customHeight="false" outlineLevel="0" collapsed="false">
      <c r="A66" s="36"/>
      <c r="B66" s="36"/>
      <c r="C66" s="36"/>
      <c r="D66" s="36"/>
      <c r="E66" s="36"/>
      <c r="F66" s="36"/>
      <c r="G66" s="37"/>
      <c r="H66" s="38"/>
      <c r="I66" s="36"/>
      <c r="J66" s="38"/>
      <c r="K66" s="36"/>
    </row>
    <row r="67" customFormat="false" ht="15" hidden="false" customHeight="false" outlineLevel="0" collapsed="false">
      <c r="A67" s="36"/>
      <c r="B67" s="36"/>
      <c r="C67" s="36"/>
      <c r="D67" s="36"/>
      <c r="E67" s="36"/>
      <c r="F67" s="36"/>
      <c r="G67" s="37"/>
      <c r="H67" s="38"/>
      <c r="I67" s="36"/>
      <c r="J67" s="38"/>
      <c r="K67" s="36"/>
    </row>
    <row r="68" customFormat="false" ht="15" hidden="false" customHeight="false" outlineLevel="0" collapsed="false">
      <c r="A68" s="36"/>
      <c r="B68" s="36"/>
      <c r="C68" s="36"/>
      <c r="D68" s="36"/>
      <c r="E68" s="36"/>
      <c r="F68" s="36"/>
      <c r="G68" s="37"/>
      <c r="H68" s="38"/>
      <c r="I68" s="36"/>
      <c r="J68" s="38"/>
      <c r="K68" s="36"/>
    </row>
    <row r="69" customFormat="false" ht="15" hidden="false" customHeight="false" outlineLevel="0" collapsed="false">
      <c r="A69" s="36"/>
      <c r="B69" s="36"/>
      <c r="C69" s="36"/>
      <c r="D69" s="36"/>
      <c r="E69" s="36"/>
      <c r="F69" s="36"/>
      <c r="G69" s="37"/>
      <c r="H69" s="38"/>
      <c r="I69" s="36"/>
      <c r="J69" s="38"/>
      <c r="K69" s="36"/>
    </row>
    <row r="70" customFormat="false" ht="15" hidden="false" customHeight="false" outlineLevel="0" collapsed="false">
      <c r="A70" s="36"/>
      <c r="B70" s="36"/>
      <c r="C70" s="36"/>
      <c r="D70" s="36"/>
      <c r="E70" s="36"/>
      <c r="F70" s="36"/>
      <c r="G70" s="37"/>
      <c r="H70" s="38"/>
      <c r="I70" s="36"/>
      <c r="J70" s="38"/>
      <c r="K70" s="36"/>
    </row>
    <row r="71" customFormat="false" ht="15" hidden="false" customHeight="false" outlineLevel="0" collapsed="false">
      <c r="A71" s="36"/>
      <c r="B71" s="36"/>
      <c r="C71" s="36"/>
      <c r="D71" s="36"/>
      <c r="E71" s="36"/>
      <c r="F71" s="36"/>
      <c r="G71" s="37"/>
      <c r="H71" s="38"/>
      <c r="I71" s="36"/>
      <c r="J71" s="38"/>
      <c r="K71" s="36"/>
    </row>
    <row r="72" customFormat="false" ht="15" hidden="false" customHeight="false" outlineLevel="0" collapsed="false">
      <c r="A72" s="36"/>
      <c r="B72" s="36"/>
      <c r="C72" s="36"/>
      <c r="D72" s="36"/>
      <c r="E72" s="36"/>
      <c r="F72" s="36"/>
      <c r="G72" s="37"/>
      <c r="H72" s="38"/>
      <c r="I72" s="36"/>
      <c r="J72" s="38"/>
      <c r="K72" s="36"/>
    </row>
    <row r="73" customFormat="false" ht="15" hidden="false" customHeight="false" outlineLevel="0" collapsed="false">
      <c r="A73" s="36"/>
      <c r="B73" s="36"/>
      <c r="C73" s="36"/>
      <c r="D73" s="36"/>
      <c r="E73" s="36"/>
      <c r="F73" s="36"/>
      <c r="G73" s="37"/>
      <c r="H73" s="38"/>
      <c r="I73" s="36"/>
      <c r="J73" s="38"/>
      <c r="K73" s="36"/>
    </row>
    <row r="74" customFormat="false" ht="15" hidden="false" customHeight="false" outlineLevel="0" collapsed="false">
      <c r="A74" s="36"/>
      <c r="B74" s="36"/>
      <c r="C74" s="36"/>
      <c r="D74" s="36"/>
      <c r="E74" s="36"/>
      <c r="F74" s="36"/>
      <c r="G74" s="37"/>
      <c r="H74" s="38"/>
      <c r="I74" s="36"/>
      <c r="J74" s="38"/>
      <c r="K74" s="36"/>
    </row>
    <row r="75" customFormat="false" ht="15" hidden="false" customHeight="false" outlineLevel="0" collapsed="false">
      <c r="A75" s="36"/>
      <c r="B75" s="36"/>
      <c r="C75" s="36"/>
      <c r="D75" s="36"/>
      <c r="E75" s="36"/>
      <c r="F75" s="36"/>
      <c r="G75" s="37"/>
      <c r="H75" s="38"/>
      <c r="I75" s="36"/>
      <c r="J75" s="38"/>
      <c r="K75" s="36"/>
    </row>
    <row r="76" customFormat="false" ht="15" hidden="false" customHeight="false" outlineLevel="0" collapsed="false">
      <c r="A76" s="36"/>
      <c r="B76" s="36"/>
      <c r="C76" s="36"/>
      <c r="D76" s="36"/>
      <c r="E76" s="36"/>
      <c r="F76" s="36"/>
      <c r="G76" s="37"/>
      <c r="H76" s="38"/>
      <c r="I76" s="36"/>
      <c r="J76" s="38"/>
      <c r="K76" s="36"/>
    </row>
    <row r="77" customFormat="false" ht="15" hidden="false" customHeight="false" outlineLevel="0" collapsed="false">
      <c r="A77" s="36"/>
      <c r="B77" s="36"/>
      <c r="C77" s="36"/>
      <c r="D77" s="36"/>
      <c r="E77" s="36"/>
      <c r="F77" s="36"/>
      <c r="G77" s="37"/>
      <c r="H77" s="38"/>
      <c r="I77" s="36"/>
      <c r="J77" s="38"/>
      <c r="K77" s="36"/>
    </row>
    <row r="78" customFormat="false" ht="15" hidden="false" customHeight="false" outlineLevel="0" collapsed="false">
      <c r="A78" s="36"/>
      <c r="B78" s="36"/>
      <c r="C78" s="36"/>
      <c r="D78" s="36"/>
      <c r="E78" s="36"/>
      <c r="F78" s="36"/>
      <c r="G78" s="37"/>
      <c r="H78" s="38"/>
      <c r="I78" s="36"/>
      <c r="J78" s="38"/>
      <c r="K78" s="36"/>
    </row>
    <row r="79" customFormat="false" ht="15" hidden="false" customHeight="false" outlineLevel="0" collapsed="false">
      <c r="A79" s="36"/>
      <c r="B79" s="36"/>
      <c r="C79" s="36"/>
      <c r="D79" s="36"/>
      <c r="E79" s="36"/>
      <c r="F79" s="36"/>
      <c r="G79" s="37"/>
      <c r="H79" s="38"/>
      <c r="I79" s="36"/>
      <c r="J79" s="38"/>
      <c r="K79" s="36"/>
    </row>
    <row r="80" customFormat="false" ht="15" hidden="false" customHeight="false" outlineLevel="0" collapsed="false">
      <c r="A80" s="36"/>
      <c r="B80" s="36"/>
      <c r="C80" s="36"/>
      <c r="D80" s="36"/>
      <c r="E80" s="36"/>
      <c r="F80" s="36"/>
      <c r="G80" s="37"/>
      <c r="H80" s="38"/>
      <c r="I80" s="36"/>
      <c r="J80" s="38"/>
      <c r="K80" s="36"/>
    </row>
    <row r="81" customFormat="false" ht="15" hidden="false" customHeight="false" outlineLevel="0" collapsed="false">
      <c r="A81" s="36"/>
      <c r="B81" s="36"/>
      <c r="C81" s="36"/>
      <c r="D81" s="36"/>
      <c r="E81" s="36"/>
      <c r="F81" s="36"/>
      <c r="G81" s="37"/>
      <c r="H81" s="38"/>
      <c r="I81" s="36"/>
      <c r="J81" s="38"/>
      <c r="K81" s="36"/>
    </row>
    <row r="82" customFormat="false" ht="15" hidden="false" customHeight="false" outlineLevel="0" collapsed="false">
      <c r="A82" s="36"/>
      <c r="B82" s="36"/>
      <c r="C82" s="36"/>
      <c r="D82" s="36"/>
      <c r="E82" s="36"/>
      <c r="F82" s="36"/>
      <c r="G82" s="37"/>
      <c r="H82" s="38"/>
      <c r="I82" s="36"/>
      <c r="J82" s="38"/>
      <c r="K82" s="36"/>
    </row>
    <row r="83" customFormat="false" ht="15" hidden="false" customHeight="false" outlineLevel="0" collapsed="false">
      <c r="A83" s="36"/>
      <c r="B83" s="36"/>
      <c r="C83" s="36"/>
      <c r="D83" s="36"/>
      <c r="E83" s="36"/>
      <c r="F83" s="36"/>
      <c r="G83" s="37"/>
      <c r="H83" s="38"/>
      <c r="I83" s="36"/>
      <c r="J83" s="38"/>
      <c r="K83" s="36"/>
    </row>
    <row r="84" customFormat="false" ht="15" hidden="false" customHeight="false" outlineLevel="0" collapsed="false">
      <c r="A84" s="36"/>
      <c r="B84" s="36"/>
      <c r="C84" s="36"/>
      <c r="D84" s="36"/>
      <c r="E84" s="36"/>
      <c r="F84" s="36"/>
      <c r="G84" s="37"/>
      <c r="H84" s="38"/>
      <c r="I84" s="36"/>
      <c r="J84" s="38"/>
      <c r="K84" s="36"/>
    </row>
    <row r="85" customFormat="false" ht="15" hidden="false" customHeight="false" outlineLevel="0" collapsed="false">
      <c r="A85" s="36"/>
      <c r="B85" s="36"/>
      <c r="C85" s="36"/>
      <c r="D85" s="36"/>
      <c r="E85" s="36"/>
      <c r="F85" s="36"/>
      <c r="G85" s="37"/>
      <c r="H85" s="38"/>
      <c r="I85" s="36"/>
      <c r="J85" s="38"/>
      <c r="K85" s="36"/>
    </row>
    <row r="86" customFormat="false" ht="15" hidden="false" customHeight="false" outlineLevel="0" collapsed="false">
      <c r="A86" s="36"/>
      <c r="B86" s="36"/>
      <c r="C86" s="36"/>
      <c r="D86" s="36"/>
      <c r="E86" s="36"/>
      <c r="F86" s="36"/>
      <c r="G86" s="37"/>
      <c r="H86" s="38"/>
      <c r="I86" s="36"/>
      <c r="J86" s="38"/>
      <c r="K86" s="36"/>
    </row>
    <row r="87" customFormat="false" ht="15" hidden="false" customHeight="false" outlineLevel="0" collapsed="false">
      <c r="A87" s="36"/>
      <c r="B87" s="36"/>
      <c r="C87" s="36"/>
      <c r="D87" s="36"/>
      <c r="E87" s="36"/>
      <c r="F87" s="36"/>
      <c r="G87" s="37"/>
      <c r="H87" s="38"/>
      <c r="I87" s="36"/>
      <c r="J87" s="38"/>
      <c r="K87" s="36"/>
    </row>
    <row r="88" customFormat="false" ht="15" hidden="false" customHeight="false" outlineLevel="0" collapsed="false">
      <c r="A88" s="36"/>
      <c r="B88" s="36"/>
      <c r="C88" s="36"/>
      <c r="D88" s="36"/>
      <c r="E88" s="36"/>
      <c r="F88" s="36"/>
      <c r="G88" s="37"/>
      <c r="H88" s="38"/>
      <c r="I88" s="36"/>
      <c r="J88" s="38"/>
      <c r="K88" s="36"/>
    </row>
    <row r="89" customFormat="false" ht="15" hidden="false" customHeight="false" outlineLevel="0" collapsed="false">
      <c r="A89" s="36"/>
      <c r="B89" s="36"/>
      <c r="C89" s="36"/>
      <c r="D89" s="36"/>
      <c r="E89" s="36"/>
      <c r="F89" s="36"/>
      <c r="G89" s="37"/>
      <c r="H89" s="38"/>
      <c r="I89" s="36"/>
      <c r="J89" s="38"/>
      <c r="K89" s="36"/>
    </row>
    <row r="90" customFormat="false" ht="15" hidden="false" customHeight="false" outlineLevel="0" collapsed="false">
      <c r="A90" s="36"/>
      <c r="B90" s="36"/>
      <c r="C90" s="36"/>
      <c r="D90" s="36"/>
      <c r="E90" s="36"/>
      <c r="F90" s="36"/>
      <c r="G90" s="37"/>
      <c r="H90" s="38"/>
      <c r="I90" s="36"/>
      <c r="J90" s="38"/>
      <c r="K90" s="36"/>
    </row>
    <row r="91" customFormat="false" ht="15" hidden="false" customHeight="false" outlineLevel="0" collapsed="false">
      <c r="A91" s="36"/>
      <c r="B91" s="36"/>
      <c r="C91" s="36"/>
      <c r="D91" s="36"/>
      <c r="E91" s="36"/>
      <c r="F91" s="36"/>
      <c r="G91" s="37"/>
      <c r="H91" s="38"/>
      <c r="I91" s="36"/>
      <c r="J91" s="38"/>
      <c r="K91" s="36"/>
    </row>
    <row r="92" customFormat="false" ht="15" hidden="false" customHeight="false" outlineLevel="0" collapsed="false">
      <c r="A92" s="36"/>
      <c r="B92" s="36"/>
      <c r="C92" s="36"/>
      <c r="D92" s="36"/>
      <c r="E92" s="36"/>
      <c r="F92" s="36"/>
      <c r="G92" s="37"/>
      <c r="H92" s="38"/>
      <c r="I92" s="36"/>
      <c r="J92" s="38"/>
      <c r="K92" s="36"/>
    </row>
    <row r="93" customFormat="false" ht="15" hidden="false" customHeight="false" outlineLevel="0" collapsed="false">
      <c r="A93" s="36"/>
      <c r="B93" s="36"/>
      <c r="C93" s="36"/>
      <c r="D93" s="36"/>
      <c r="E93" s="36"/>
      <c r="F93" s="36"/>
      <c r="G93" s="37"/>
      <c r="H93" s="38"/>
      <c r="I93" s="36"/>
      <c r="J93" s="38"/>
      <c r="K93" s="36"/>
    </row>
    <row r="94" customFormat="false" ht="15" hidden="false" customHeight="false" outlineLevel="0" collapsed="false">
      <c r="A94" s="36"/>
      <c r="B94" s="36"/>
      <c r="C94" s="36"/>
      <c r="D94" s="36"/>
      <c r="E94" s="36"/>
      <c r="F94" s="36"/>
      <c r="G94" s="37"/>
      <c r="H94" s="38"/>
      <c r="I94" s="36"/>
      <c r="J94" s="38"/>
      <c r="K94" s="36"/>
    </row>
    <row r="95" customFormat="false" ht="15" hidden="false" customHeight="false" outlineLevel="0" collapsed="false">
      <c r="A95" s="36"/>
      <c r="B95" s="36"/>
      <c r="C95" s="36"/>
      <c r="D95" s="36"/>
      <c r="E95" s="36"/>
      <c r="F95" s="36"/>
      <c r="G95" s="37"/>
      <c r="H95" s="38"/>
      <c r="I95" s="36"/>
      <c r="J95" s="38"/>
      <c r="K95" s="36"/>
    </row>
    <row r="96" customFormat="false" ht="15" hidden="false" customHeight="false" outlineLevel="0" collapsed="false">
      <c r="A96" s="36"/>
      <c r="B96" s="36"/>
      <c r="C96" s="36"/>
      <c r="D96" s="36"/>
      <c r="E96" s="36"/>
      <c r="F96" s="36"/>
      <c r="G96" s="37"/>
      <c r="H96" s="38"/>
      <c r="I96" s="36"/>
      <c r="J96" s="38"/>
      <c r="K96" s="36"/>
    </row>
    <row r="97" customFormat="false" ht="15" hidden="false" customHeight="false" outlineLevel="0" collapsed="false">
      <c r="A97" s="36"/>
      <c r="B97" s="36"/>
      <c r="C97" s="36"/>
      <c r="D97" s="36"/>
      <c r="E97" s="36"/>
      <c r="F97" s="36"/>
      <c r="G97" s="37"/>
      <c r="H97" s="38"/>
      <c r="I97" s="36"/>
      <c r="J97" s="38"/>
      <c r="K97" s="36"/>
    </row>
    <row r="98" customFormat="false" ht="15" hidden="false" customHeight="false" outlineLevel="0" collapsed="false">
      <c r="A98" s="36"/>
      <c r="B98" s="36"/>
      <c r="C98" s="36"/>
      <c r="D98" s="36"/>
      <c r="E98" s="36"/>
      <c r="F98" s="36"/>
      <c r="G98" s="37"/>
      <c r="H98" s="38"/>
      <c r="I98" s="36"/>
      <c r="J98" s="38"/>
      <c r="K98" s="36"/>
    </row>
    <row r="99" customFormat="false" ht="15" hidden="false" customHeight="false" outlineLevel="0" collapsed="false">
      <c r="A99" s="36"/>
      <c r="B99" s="36"/>
      <c r="C99" s="36"/>
      <c r="D99" s="36"/>
      <c r="E99" s="36"/>
      <c r="F99" s="36"/>
      <c r="G99" s="37"/>
      <c r="H99" s="38"/>
      <c r="I99" s="36"/>
      <c r="J99" s="38"/>
      <c r="K99" s="36"/>
    </row>
    <row r="100" customFormat="false" ht="15" hidden="false" customHeight="false" outlineLevel="0" collapsed="false">
      <c r="A100" s="36"/>
      <c r="B100" s="36"/>
      <c r="C100" s="36"/>
      <c r="D100" s="36"/>
      <c r="E100" s="36"/>
      <c r="F100" s="36"/>
      <c r="G100" s="37"/>
      <c r="H100" s="38"/>
      <c r="I100" s="36"/>
      <c r="J100" s="38"/>
      <c r="K100" s="36"/>
    </row>
    <row r="101" customFormat="false" ht="15" hidden="false" customHeight="false" outlineLevel="0" collapsed="false">
      <c r="A101" s="36"/>
      <c r="B101" s="36"/>
      <c r="C101" s="36"/>
      <c r="D101" s="36"/>
      <c r="E101" s="36"/>
      <c r="F101" s="36"/>
      <c r="G101" s="37"/>
      <c r="H101" s="38"/>
      <c r="I101" s="36"/>
      <c r="J101" s="38"/>
      <c r="K101" s="36"/>
    </row>
    <row r="102" customFormat="false" ht="15" hidden="false" customHeight="false" outlineLevel="0" collapsed="false">
      <c r="A102" s="36"/>
      <c r="B102" s="36"/>
      <c r="C102" s="36"/>
      <c r="D102" s="36"/>
      <c r="E102" s="36"/>
      <c r="F102" s="36"/>
      <c r="G102" s="37"/>
      <c r="H102" s="38"/>
      <c r="I102" s="36"/>
      <c r="J102" s="38"/>
      <c r="K102" s="36"/>
    </row>
    <row r="103" customFormat="false" ht="15" hidden="false" customHeight="false" outlineLevel="0" collapsed="false">
      <c r="A103" s="36"/>
      <c r="B103" s="36"/>
      <c r="C103" s="36"/>
      <c r="D103" s="36"/>
      <c r="E103" s="36"/>
      <c r="F103" s="36"/>
      <c r="G103" s="37"/>
      <c r="H103" s="38"/>
      <c r="I103" s="36"/>
      <c r="J103" s="38"/>
      <c r="K103" s="36"/>
    </row>
  </sheetData>
  <dataValidations count="2">
    <dataValidation allowBlank="true" errorStyle="stop" operator="between" showDropDown="false" showErrorMessage="false" showInputMessage="false" sqref="C4:C103" type="list">
      <formula1>Lists!$E$2:$E$40</formula1>
      <formula2>0</formula2>
    </dataValidation>
    <dataValidation allowBlank="true" errorStyle="stop" operator="between" showDropDown="false" showErrorMessage="false" showInputMessage="false" sqref="I4:I103" type="list">
      <formula1>"Yes,No,Maybe"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8"/>
  </cols>
  <sheetData>
    <row r="1" customFormat="false" ht="15" hidden="false" customHeight="false" outlineLevel="0" collapsed="false">
      <c r="A1" s="39" t="s">
        <v>308</v>
      </c>
      <c r="B1" s="39" t="s">
        <v>46</v>
      </c>
      <c r="C1" s="39" t="s">
        <v>47</v>
      </c>
      <c r="D1" s="39" t="s">
        <v>48</v>
      </c>
      <c r="E1" s="39" t="s">
        <v>49</v>
      </c>
      <c r="F1" s="39" t="s">
        <v>309</v>
      </c>
      <c r="H1" s="40" t="s">
        <v>310</v>
      </c>
    </row>
    <row r="2" customFormat="false" ht="15" hidden="false" customHeight="false" outlineLevel="0" collapsed="false">
      <c r="A2" s="41" t="s">
        <v>20</v>
      </c>
      <c r="B2" s="41" t="s">
        <v>71</v>
      </c>
      <c r="C2" s="41" t="s">
        <v>64</v>
      </c>
      <c r="D2" s="41" t="s">
        <v>65</v>
      </c>
      <c r="E2" s="41" t="s">
        <v>66</v>
      </c>
      <c r="F2" s="41" t="s">
        <v>89</v>
      </c>
    </row>
    <row r="3" customFormat="false" ht="15" hidden="false" customHeight="false" outlineLevel="0" collapsed="false">
      <c r="A3" s="41" t="s">
        <v>21</v>
      </c>
      <c r="B3" s="41" t="s">
        <v>63</v>
      </c>
      <c r="C3" s="41" t="s">
        <v>77</v>
      </c>
      <c r="D3" s="41" t="s">
        <v>87</v>
      </c>
      <c r="E3" s="41" t="s">
        <v>115</v>
      </c>
      <c r="F3" s="41" t="s">
        <v>67</v>
      </c>
    </row>
    <row r="4" customFormat="false" ht="15" hidden="false" customHeight="false" outlineLevel="0" collapsed="false">
      <c r="A4" s="41" t="s">
        <v>22</v>
      </c>
      <c r="B4" s="41" t="s">
        <v>11</v>
      </c>
      <c r="C4" s="41" t="s">
        <v>166</v>
      </c>
      <c r="D4" s="41" t="s">
        <v>182</v>
      </c>
      <c r="E4" s="41" t="s">
        <v>88</v>
      </c>
      <c r="F4" s="41" t="s">
        <v>84</v>
      </c>
    </row>
    <row r="5" customFormat="false" ht="15" hidden="false" customHeight="false" outlineLevel="0" collapsed="false">
      <c r="A5" s="41" t="s">
        <v>23</v>
      </c>
      <c r="B5" s="41" t="s">
        <v>311</v>
      </c>
      <c r="D5" s="41" t="s">
        <v>213</v>
      </c>
      <c r="E5" s="41" t="s">
        <v>224</v>
      </c>
    </row>
    <row r="6" customFormat="false" ht="15" hidden="false" customHeight="false" outlineLevel="0" collapsed="false">
      <c r="A6" s="41" t="s">
        <v>24</v>
      </c>
      <c r="B6" s="41" t="s">
        <v>312</v>
      </c>
      <c r="D6" s="41" t="s">
        <v>279</v>
      </c>
      <c r="E6" s="41" t="s">
        <v>95</v>
      </c>
    </row>
    <row r="7" customFormat="false" ht="15" hidden="false" customHeight="false" outlineLevel="0" collapsed="false">
      <c r="A7" s="41" t="s">
        <v>25</v>
      </c>
      <c r="B7" s="41" t="s">
        <v>12</v>
      </c>
      <c r="D7" s="41" t="s">
        <v>169</v>
      </c>
      <c r="E7" s="41" t="s">
        <v>183</v>
      </c>
    </row>
    <row r="8" customFormat="false" ht="15" hidden="false" customHeight="false" outlineLevel="0" collapsed="false">
      <c r="A8" s="41" t="s">
        <v>26</v>
      </c>
      <c r="E8" s="41" t="s">
        <v>154</v>
      </c>
    </row>
    <row r="9" customFormat="false" ht="15" hidden="false" customHeight="false" outlineLevel="0" collapsed="false">
      <c r="A9" s="41" t="s">
        <v>27</v>
      </c>
      <c r="E9" s="41" t="s">
        <v>313</v>
      </c>
    </row>
    <row r="10" customFormat="false" ht="15" hidden="false" customHeight="false" outlineLevel="0" collapsed="false">
      <c r="A10" s="41" t="s">
        <v>28</v>
      </c>
    </row>
    <row r="11" customFormat="false" ht="15" hidden="false" customHeight="false" outlineLevel="0" collapsed="false">
      <c r="A11" s="41" t="s">
        <v>29</v>
      </c>
    </row>
    <row r="12" customFormat="false" ht="15" hidden="false" customHeight="false" outlineLevel="0" collapsed="false">
      <c r="A12" s="41" t="s">
        <v>30</v>
      </c>
    </row>
    <row r="13" customFormat="false" ht="15" hidden="false" customHeight="false" outlineLevel="0" collapsed="false">
      <c r="A13" s="41" t="s">
        <v>31</v>
      </c>
    </row>
    <row r="14" customFormat="false" ht="15" hidden="false" customHeight="false" outlineLevel="0" collapsed="false">
      <c r="A14" s="4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2026-10-20T18:54:01Z</dcterms:created>
  <dc:creator>openpyxl</dc:creator>
  <dc:description/>
  <dc:language>en-US</dc:language>
  <cp:lastModifiedBy/>
  <dcterms:modified xsi:type="dcterms:W3CDTF">2026-10-20T18:54:02Z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